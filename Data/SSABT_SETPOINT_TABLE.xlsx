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5" lowestEdited="5" rupBuild="10.105.262.54977"/>
  <workbookPr/>
  <bookViews>
    <workbookView xWindow="360" yWindow="30" windowWidth="25755" windowHeight="11595" activeTab="0"/>
  </bookViews>
  <sheets>
    <sheet name="Sheet1" sheetId="1" r:id="rId1"/>
  </sheets>
  <definedNames/>
  <calcPr calcId="152511"/>
</workbook>
</file>

<file path=xl/comments1.xml><?xml version="1.0" encoding="utf-8"?>
<comments xmlns="http://schemas.openxmlformats.org/spreadsheetml/2006/main">
  <authors/>
  <commentList/>
</comments>
</file>

<file path=xl/sharedStrings.xml><?xml version="1.0" encoding="utf-8"?>
<sst xmlns="http://schemas.openxmlformats.org/spreadsheetml/2006/main" count="41" uniqueCount="41">
  <si>
    <t>Hz</t>
  </si>
  <si>
    <t>Under Frequency Pickup</t>
  </si>
  <si>
    <t>WORD</t>
  </si>
  <si>
    <t>Under Frequency Dropout</t>
  </si>
  <si>
    <t>Over frequency Pickup</t>
  </si>
  <si>
    <t>Over frequency Dropout</t>
  </si>
  <si>
    <t>--</t>
  </si>
  <si>
    <t>second</t>
  </si>
  <si>
    <t>Load Shed Time (L)</t>
  </si>
  <si>
    <t>Load Shed Time (H)</t>
  </si>
  <si>
    <t>ms</t>
  </si>
  <si>
    <t>Re-Transfer Time (L)</t>
  </si>
  <si>
    <t>Re-Transfer Time (H)</t>
  </si>
  <si>
    <t>Time to Transfer Delay</t>
  </si>
  <si>
    <t>나누기 10</t>
  </si>
  <si>
    <t>Degree</t>
  </si>
  <si>
    <t>Phase Error</t>
  </si>
  <si>
    <t>WORD</t>
  </si>
  <si>
    <t>나누기 10</t>
  </si>
  <si>
    <t>Amp</t>
  </si>
  <si>
    <t>Overload Peak</t>
  </si>
  <si>
    <t>Overload Average</t>
  </si>
  <si>
    <t>Vrms</t>
  </si>
  <si>
    <t>Pickup Voltage Hysteresis</t>
  </si>
  <si>
    <t>Pickup Voltage Line to Line</t>
  </si>
  <si>
    <t>Random Transfer Hysteresis</t>
  </si>
  <si>
    <t>Random Transfer Line To Line</t>
  </si>
  <si>
    <t>In Phase Transfer Hysteresis</t>
  </si>
  <si>
    <t>In Phase Transfer Line to Line</t>
  </si>
  <si>
    <t>Overvoltage Hysteresis</t>
  </si>
  <si>
    <t>Overvoltage Line to Line</t>
  </si>
  <si>
    <t>Note</t>
  </si>
  <si>
    <t>Range</t>
  </si>
  <si>
    <t>Default</t>
  </si>
  <si>
    <t>Unit</t>
  </si>
  <si>
    <t>Description</t>
  </si>
  <si>
    <t>Size</t>
  </si>
  <si>
    <t>Index</t>
  </si>
  <si>
    <t>SSABT SETPOINT MODBUS ADDRESS TABLE</t>
  </si>
  <si>
    <t>Baudrate : 115200</t>
  </si>
  <si>
    <t>SETPOINT ID : 200</t>
  </si>
</sst>
</file>

<file path=xl/styles.xml><?xml version="1.0" encoding="utf-8"?>
<styleSheet xmlns="http://schemas.openxmlformats.org/spreadsheetml/2006/main">
  <numFmts count="0"/>
  <fonts count="21">
    <font>
      <sz val="11.0"/>
      <name val="맑은 고딕"/>
      <scheme val="minor"/>
      <color theme="1"/>
    </font>
    <font>
      <sz val="11.0"/>
      <name val="맑은 고딕"/>
      <scheme val="minor"/>
      <color theme="1"/>
    </font>
    <font>
      <sz val="8.0"/>
      <name val="맑은 고딕"/>
      <scheme val="minor"/>
      <color rgb="FF000000"/>
    </font>
    <font>
      <u/>
      <sz val="11.0"/>
      <name val="맑은 고딕"/>
      <scheme val="minor"/>
      <color theme="10"/>
    </font>
    <font>
      <u/>
      <sz val="11.0"/>
      <name val="맑은 고딕"/>
      <scheme val="minor"/>
      <color theme="11"/>
    </font>
    <font>
      <sz val="11.0"/>
      <name val="맑은 고딕"/>
      <scheme val="minor"/>
      <color rgb="FFFF0000"/>
    </font>
    <font>
      <sz val="18.0"/>
      <name val="맑은 고딕"/>
      <scheme val="minor"/>
      <color theme="3"/>
    </font>
    <font>
      <b/>
      <sz val="15.0"/>
      <name val="맑은 고딕"/>
      <scheme val="minor"/>
      <color theme="3"/>
    </font>
    <font>
      <b/>
      <sz val="13.0"/>
      <name val="맑은 고딕"/>
      <scheme val="minor"/>
      <color theme="3"/>
    </font>
    <font>
      <b/>
      <sz val="11.0"/>
      <name val="맑은 고딕"/>
      <scheme val="minor"/>
      <color theme="3"/>
    </font>
    <font>
      <sz val="11.0"/>
      <name val="맑은 고딕"/>
      <scheme val="minor"/>
      <color rgb="FF3F3F76"/>
    </font>
    <font>
      <b/>
      <sz val="11.0"/>
      <name val="맑은 고딕"/>
      <scheme val="minor"/>
      <color rgb="FF3F3F3F"/>
    </font>
    <font>
      <b/>
      <sz val="11.0"/>
      <name val="맑은 고딕"/>
      <scheme val="minor"/>
      <color rgb="FFFA7D00"/>
    </font>
    <font>
      <b/>
      <sz val="11.0"/>
      <name val="맑은 고딕"/>
      <scheme val="minor"/>
      <color rgb="FFFFFFFF"/>
    </font>
    <font>
      <sz val="11.0"/>
      <name val="맑은 고딕"/>
      <scheme val="minor"/>
      <color rgb="FFFA7D00"/>
    </font>
    <font>
      <b/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11.0"/>
      <name val="맑은 고딕"/>
      <scheme val="minor"/>
      <color rgb="FF9C0006"/>
    </font>
    <font>
      <sz val="11.0"/>
      <name val="맑은 고딕"/>
      <scheme val="minor"/>
      <color rgb="FF9C6500"/>
    </font>
    <font>
      <sz val="11.0"/>
      <name val="맑은 고딕"/>
      <scheme val="minor"/>
      <color theme="0"/>
    </font>
    <font>
      <i/>
      <sz val="11.0"/>
      <name val="맑은 고딕"/>
      <scheme val="minor"/>
      <color rgb="FF7F7F7F"/>
    </font>
  </fonts>
  <fills count="36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"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9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0" fontId="1" fillId="2" borderId="1" applyAlignment="0" applyFont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3" fillId="0" borderId="0" applyAlignment="0" applyBorder="0" applyFill="0" applyNumberFormat="0" applyProtection="0">
      <alignment vertical="center"/>
    </xf>
    <xf numFmtId="0" fontId="4" fillId="0" borderId="0" applyAlignment="0" applyBorder="0" applyFill="0" applyNumberFormat="0" applyProtection="0">
      <alignment vertical="center"/>
    </xf>
    <xf numFmtId="0" fontId="0" fillId="2" borderId="3" applyAlignment="0" applyFont="0" applyNumberForma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0" applyAlignment="0" applyBorder="0" applyFill="0" applyNumberFormat="0" applyProtection="0">
      <alignment vertical="center"/>
    </xf>
    <xf numFmtId="0" fontId="7" fillId="0" borderId="4" applyAlignment="0" applyFill="0" applyNumberFormat="0" applyProtection="0">
      <alignment vertical="center"/>
    </xf>
    <xf numFmtId="0" fontId="8" fillId="0" borderId="5" applyAlignment="0" applyFill="0" applyNumberFormat="0" applyProtection="0">
      <alignment vertical="center"/>
    </xf>
    <xf numFmtId="0" fontId="9" fillId="0" borderId="6" applyAlignment="0" applyFill="0" applyNumberFormat="0" applyProtection="0">
      <alignment vertical="center"/>
    </xf>
    <xf numFmtId="0" fontId="9" fillId="0" borderId="0" applyAlignment="0" applyBorder="0" applyFill="0" applyNumberFormat="0" applyProtection="0">
      <alignment vertical="center"/>
    </xf>
    <xf numFmtId="0" fontId="10" fillId="6" borderId="7" applyAlignment="0" applyNumberFormat="0" applyProtection="0">
      <alignment vertical="center"/>
    </xf>
    <xf numFmtId="0" fontId="11" fillId="7" borderId="8" applyAlignment="0" applyNumberFormat="0" applyProtection="0">
      <alignment vertical="center"/>
    </xf>
    <xf numFmtId="0" fontId="12" fillId="7" borderId="7" applyAlignment="0" applyNumberFormat="0" applyProtection="0">
      <alignment vertical="center"/>
    </xf>
    <xf numFmtId="0" fontId="13" fillId="8" borderId="9" applyAlignment="0" applyNumberFormat="0" applyProtection="0">
      <alignment vertical="center"/>
    </xf>
    <xf numFmtId="0" fontId="14" fillId="0" borderId="10" applyAlignment="0" applyFill="0" applyNumberFormat="0" applyProtection="0">
      <alignment vertical="center"/>
    </xf>
    <xf numFmtId="0" fontId="15" fillId="0" borderId="11" applyAlignment="0" applyFill="0" applyNumberFormat="0" applyProtection="0">
      <alignment vertical="center"/>
    </xf>
    <xf numFmtId="0" fontId="16" fillId="9" borderId="0" applyAlignment="0" applyBorder="0" applyNumberFormat="0" applyProtection="0">
      <alignment vertical="center"/>
    </xf>
    <xf numFmtId="0" fontId="17" fillId="10" borderId="0" applyAlignment="0" applyBorder="0" applyNumberFormat="0" applyProtection="0">
      <alignment vertical="center"/>
    </xf>
    <xf numFmtId="0" fontId="18" fillId="11" borderId="0" applyAlignment="0" applyBorder="0" applyNumberFormat="0" applyProtection="0">
      <alignment vertical="center"/>
    </xf>
    <xf numFmtId="0" fontId="19" fillId="12" borderId="0" applyAlignment="0" applyBorder="0" applyNumberFormat="0" applyProtection="0">
      <alignment vertical="center"/>
    </xf>
    <xf numFmtId="0" fontId="1" fillId="13" borderId="0" applyAlignment="0" applyBorder="0" applyNumberFormat="0" applyProtection="0">
      <alignment vertical="center"/>
    </xf>
    <xf numFmtId="0" fontId="1" fillId="14" borderId="0" applyAlignment="0" applyBorder="0" applyNumberFormat="0" applyProtection="0">
      <alignment vertical="center"/>
    </xf>
    <xf numFmtId="0" fontId="19" fillId="15" borderId="0" applyAlignment="0" applyBorder="0" applyNumberFormat="0" applyProtection="0">
      <alignment vertical="center"/>
    </xf>
    <xf numFmtId="0" fontId="19" fillId="16" borderId="0" applyAlignment="0" applyBorder="0" applyNumberFormat="0" applyProtection="0">
      <alignment vertical="center"/>
    </xf>
    <xf numFmtId="0" fontId="1" fillId="17" borderId="0" applyAlignment="0" applyBorder="0" applyNumberFormat="0" applyProtection="0">
      <alignment vertical="center"/>
    </xf>
    <xf numFmtId="0" fontId="1" fillId="18" borderId="0" applyAlignment="0" applyBorder="0" applyNumberFormat="0" applyProtection="0">
      <alignment vertical="center"/>
    </xf>
    <xf numFmtId="0" fontId="19" fillId="19" borderId="0" applyAlignment="0" applyBorder="0" applyNumberFormat="0" applyProtection="0">
      <alignment vertical="center"/>
    </xf>
    <xf numFmtId="0" fontId="19" fillId="20" borderId="0" applyAlignment="0" applyBorder="0" applyNumberFormat="0" applyProtection="0">
      <alignment vertical="center"/>
    </xf>
    <xf numFmtId="0" fontId="1" fillId="21" borderId="0" applyAlignment="0" applyBorder="0" applyNumberFormat="0" applyProtection="0">
      <alignment vertical="center"/>
    </xf>
    <xf numFmtId="0" fontId="1" fillId="22" borderId="0" applyAlignment="0" applyBorder="0" applyNumberFormat="0" applyProtection="0">
      <alignment vertical="center"/>
    </xf>
    <xf numFmtId="0" fontId="19" fillId="23" borderId="0" applyAlignment="0" applyBorder="0" applyNumberFormat="0" applyProtection="0">
      <alignment vertical="center"/>
    </xf>
    <xf numFmtId="0" fontId="19" fillId="24" borderId="0" applyAlignment="0" applyBorder="0" applyNumberFormat="0" applyProtection="0">
      <alignment vertical="center"/>
    </xf>
    <xf numFmtId="0" fontId="1" fillId="25" borderId="0" applyAlignment="0" applyBorder="0" applyNumberFormat="0" applyProtection="0">
      <alignment vertical="center"/>
    </xf>
    <xf numFmtId="0" fontId="1" fillId="26" borderId="0" applyAlignment="0" applyBorder="0" applyNumberFormat="0" applyProtection="0">
      <alignment vertical="center"/>
    </xf>
    <xf numFmtId="0" fontId="19" fillId="27" borderId="0" applyAlignment="0" applyBorder="0" applyNumberFormat="0" applyProtection="0">
      <alignment vertical="center"/>
    </xf>
    <xf numFmtId="0" fontId="19" fillId="28" borderId="0" applyAlignment="0" applyBorder="0" applyNumberFormat="0" applyProtection="0">
      <alignment vertical="center"/>
    </xf>
    <xf numFmtId="0" fontId="1" fillId="29" borderId="0" applyAlignment="0" applyBorder="0" applyNumberFormat="0" applyProtection="0">
      <alignment vertical="center"/>
    </xf>
    <xf numFmtId="0" fontId="1" fillId="30" borderId="0" applyAlignment="0" applyBorder="0" applyNumberFormat="0" applyProtection="0">
      <alignment vertical="center"/>
    </xf>
    <xf numFmtId="0" fontId="19" fillId="31" borderId="0" applyAlignment="0" applyBorder="0" applyNumberFormat="0" applyProtection="0">
      <alignment vertical="center"/>
    </xf>
    <xf numFmtId="0" fontId="19" fillId="32" borderId="0" applyAlignment="0" applyBorder="0" applyNumberFormat="0" applyProtection="0">
      <alignment vertical="center"/>
    </xf>
    <xf numFmtId="0" fontId="1" fillId="33" borderId="0" applyAlignment="0" applyBorder="0" applyNumberFormat="0" applyProtection="0">
      <alignment vertical="center"/>
    </xf>
    <xf numFmtId="0" fontId="1" fillId="34" borderId="0" applyAlignment="0" applyBorder="0" applyNumberFormat="0" applyProtection="0">
      <alignment vertical="center"/>
    </xf>
    <xf numFmtId="0" fontId="19" fillId="35" borderId="0" applyAlignment="0" applyBorder="0" applyNumberFormat="0" applyProtection="0">
      <alignment vertical="center"/>
    </xf>
    <xf numFmtId="0" fontId="20" fillId="0" borderId="0" applyAlignment="0" applyBorder="0" applyFill="0" applyNumberForma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>
      <alignment vertical="center"/>
    </xf>
    <xf numFmtId="0" fontId="0" fillId="5" borderId="2" xfId="0" applyFill="1" applyBorder="1" applyAlignment="1">
      <alignment horizontal="center" vertical="center"/>
    </xf>
  </cellXfs>
  <cellStyles count="50">
    <cellStyle name="20% - 강조색1" xfId="26" builtinId="30"/>
    <cellStyle name="20% - 강조색2" xfId="30" builtinId="34"/>
    <cellStyle name="20% - 강조색3" xfId="34" builtinId="38"/>
    <cellStyle name="20% - 강조색4" xfId="38" builtinId="42"/>
    <cellStyle name="20% - 강조색5" xfId="42" builtinId="46"/>
    <cellStyle name="20% - 강조색6" xfId="46" builtinId="50"/>
    <cellStyle name="40% - 강조색1" xfId="27" builtinId="31"/>
    <cellStyle name="40% - 강조색2" xfId="31" builtinId="35"/>
    <cellStyle name="40% - 강조색3" xfId="35" builtinId="39"/>
    <cellStyle name="40% - 강조색4" xfId="39" builtinId="43"/>
    <cellStyle name="40% - 강조색5" xfId="43" builtinId="47"/>
    <cellStyle name="40% - 강조색6" xfId="47" builtinId="51"/>
    <cellStyle name="60% - 강조색1" xfId="28" builtinId="32"/>
    <cellStyle name="60% - 강조색2" xfId="32" builtinId="36"/>
    <cellStyle name="60% - 강조색3" xfId="36" builtinId="40"/>
    <cellStyle name="60% - 강조색4" xfId="40" builtinId="44"/>
    <cellStyle name="60% - 강조색5" xfId="44" builtinId="48"/>
    <cellStyle name="60% - 강조색6" xfId="48" builtinId="52"/>
    <cellStyle name="강조색1" xfId="25" builtinId="29"/>
    <cellStyle name="강조색2" xfId="29" builtinId="33"/>
    <cellStyle name="강조색3" xfId="33" builtinId="37"/>
    <cellStyle name="강조색4" xfId="37" builtinId="41"/>
    <cellStyle name="강조색5" xfId="41" builtinId="45"/>
    <cellStyle name="강조색6" xfId="45" builtinId="49"/>
    <cellStyle name="경고문" xfId="10" builtinId="11"/>
    <cellStyle name="계산" xfId="18" builtinId="22"/>
    <cellStyle name="나쁨" xfId="23" builtinId="27"/>
    <cellStyle name="메모" xfId="9" builtinId="10"/>
    <cellStyle name="백분율" xfId="4" builtinId="5"/>
    <cellStyle name="보통" xfId="24" builtinId="28"/>
    <cellStyle name="설명텍스트" xfId="49" builtinId="53"/>
    <cellStyle name="셀 확인" xfId="19" builtinId="23"/>
    <cellStyle name="쉼표" xfId="2" builtinId="3"/>
    <cellStyle name="쉼표[0]" xfId="5" builtinId="6"/>
    <cellStyle name="연결된 셀" xfId="20" builtinId="24"/>
    <cellStyle name="열어본 하이퍼링크" xfId="8" builtinId="9" hidden="1"/>
    <cellStyle name="요약" xfId="21" builtinId="25"/>
    <cellStyle name="입력" xfId="16" builtinId="20"/>
    <cellStyle name="제목" xfId="11" builtinId="15"/>
    <cellStyle name="제목 1" xfId="12" builtinId="16"/>
    <cellStyle name="제목 2" xfId="13" builtinId="17"/>
    <cellStyle name="제목 3" xfId="14" builtinId="18"/>
    <cellStyle name="제목 4" xfId="15" builtinId="19"/>
    <cellStyle name="좋음" xfId="22" builtinId="26"/>
    <cellStyle name="출력" xfId="17" builtinId="21"/>
    <cellStyle name="통화" xfId="3" builtinId="4"/>
    <cellStyle name="통화[0]" xfId="6" builtinId="7"/>
    <cellStyle name="표준" xfId="0" builtinId="0"/>
    <cellStyle name="하이퍼링크" xfId="7" builtinId="8" hidden="1"/>
    <cellStyle name="메모 2" xfId="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theme" Target="theme/theme1.xml"></Relationship><Relationship Id="rId3" Type="http://schemas.openxmlformats.org/officeDocument/2006/relationships/styles" Target="styles.xml"></Relationship><Relationship Id="rId4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vmlDrawing" Target="../drawings/vmlDrawing1.vml"></Relationship><Relationship Id="rId2" Type="http://schemas.openxmlformats.org/officeDocument/2006/relationships/comments" Target="../comments1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3"/>
  <sheetViews>
    <sheetView tabSelected="1" workbookViewId="0">
      <selection activeCell="A2" sqref="A2:XFD7"/>
    </sheetView>
  </sheetViews>
  <sheetFormatPr defaultRowHeight="16.500000"/>
  <cols>
    <col min="3" max="3" width="32.63000107" customWidth="1" outlineLevel="0"/>
    <col min="4" max="4" style="1" width="10.88000011" customWidth="1" outlineLevel="0"/>
    <col min="5" max="5" style="1" width="15.50500011" customWidth="1" outlineLevel="0"/>
    <col min="6" max="7" width="17.62999916" customWidth="1" outlineLevel="0"/>
    <col min="8" max="8" width="14.88000011" customWidth="1" outlineLevel="0"/>
  </cols>
  <sheetData>
    <row r="2" spans="1:9" ht="20.100000" customHeight="1">
      <c r="A2" s="3" t="s">
        <v>37</v>
      </c>
      <c r="B2" s="3" t="s">
        <v>36</v>
      </c>
      <c r="C2" s="3" t="s">
        <v>35</v>
      </c>
      <c r="D2" s="3" t="s">
        <v>34</v>
      </c>
      <c r="E2" s="3" t="s">
        <v>33</v>
      </c>
      <c r="F2" s="3" t="s">
        <v>32</v>
      </c>
      <c r="G2" s="3"/>
      <c r="H2" s="3" t="s">
        <v>31</v>
      </c>
      <c r="I2" s="0" t="s">
        <v>38</v>
      </c>
    </row>
    <row r="3" spans="1:9" ht="20.100000" customHeight="1">
      <c r="A3" s="3">
        <f>ROW()-ROW($A$2)-1</f>
        <v>0</v>
      </c>
      <c r="B3" s="3" t="s">
        <v>17</v>
      </c>
      <c r="C3" s="3"/>
      <c r="D3" s="3"/>
      <c r="E3" s="3"/>
      <c r="F3" s="3"/>
      <c r="G3" s="3"/>
      <c r="H3" s="3"/>
      <c r="I3" s="0" t="s">
        <v>39</v>
      </c>
    </row>
    <row r="4" spans="1:9" ht="20.100000" customHeight="1">
      <c r="A4" s="3">
        <f>ROW()-ROW($A$2)-1</f>
        <v>1</v>
      </c>
      <c r="B4" s="3" t="s">
        <v>17</v>
      </c>
      <c r="C4" s="3"/>
      <c r="D4" s="3"/>
      <c r="E4" s="3"/>
      <c r="F4" s="3"/>
      <c r="G4" s="3"/>
      <c r="H4" s="3"/>
      <c r="I4" s="0" t="s">
        <v>40</v>
      </c>
    </row>
    <row r="5" spans="1:9" ht="20.100000" customHeight="1">
      <c r="A5" s="3">
        <f>ROW()-ROW($A$2)-1</f>
        <v>2</v>
      </c>
      <c r="B5" s="3" t="s">
        <v>17</v>
      </c>
      <c r="C5" s="3"/>
      <c r="D5" s="3"/>
      <c r="E5" s="3"/>
      <c r="F5" s="3"/>
      <c r="G5" s="3"/>
      <c r="H5" s="3"/>
    </row>
    <row r="6" spans="1:9" ht="20.100000" customHeight="1">
      <c r="A6" s="3">
        <f>ROW()-ROW($A$2)-1</f>
        <v>3</v>
      </c>
      <c r="B6" s="3" t="s">
        <v>17</v>
      </c>
      <c r="C6" s="3"/>
      <c r="D6" s="3"/>
      <c r="E6" s="3"/>
      <c r="F6" s="3"/>
      <c r="G6" s="3"/>
      <c r="H6" s="3"/>
    </row>
    <row r="7" spans="1:9" ht="20.100000" customHeight="1">
      <c r="A7" s="9">
        <f>ROW()-ROW($A$2)-1</f>
        <v>4</v>
      </c>
      <c r="B7" s="9" t="s">
        <v>17</v>
      </c>
      <c r="C7" s="8" t="s">
        <v>30</v>
      </c>
      <c r="D7" s="9" t="s">
        <v>22</v>
      </c>
      <c r="E7" s="9">
        <v>4940</v>
      </c>
      <c r="F7" s="8"/>
      <c r="G7" s="8"/>
      <c r="H7" s="8" t="s">
        <v>14</v>
      </c>
    </row>
    <row r="8" spans="1:9" ht="20.100000" customHeight="1">
      <c r="A8" s="9">
        <f>ROW()-ROW($A$2)-1</f>
        <v>5</v>
      </c>
      <c r="B8" s="9" t="s">
        <v>17</v>
      </c>
      <c r="C8" s="8" t="s">
        <v>29</v>
      </c>
      <c r="D8" s="9" t="s">
        <v>22</v>
      </c>
      <c r="E8" s="9">
        <v>140</v>
      </c>
      <c r="F8" s="8"/>
      <c r="G8" s="8"/>
      <c r="H8" s="8" t="s">
        <v>14</v>
      </c>
    </row>
    <row r="9" spans="1:9" ht="20.100000" customHeight="1">
      <c r="A9" s="9">
        <f>ROW()-ROW($A$2)-1</f>
        <v>6</v>
      </c>
      <c r="B9" s="9" t="s">
        <v>17</v>
      </c>
      <c r="C9" s="8" t="s">
        <v>28</v>
      </c>
      <c r="D9" s="9" t="s">
        <v>22</v>
      </c>
      <c r="E9" s="9">
        <v>3720</v>
      </c>
      <c r="F9" s="8"/>
      <c r="G9" s="8"/>
      <c r="H9" s="8" t="s">
        <v>14</v>
      </c>
    </row>
    <row r="10" spans="1:9" ht="20.100000" customHeight="1">
      <c r="A10" s="9">
        <f>ROW()-ROW($A$2)-1</f>
        <v>7</v>
      </c>
      <c r="B10" s="9" t="s">
        <v>17</v>
      </c>
      <c r="C10" s="8" t="s">
        <v>27</v>
      </c>
      <c r="D10" s="9" t="s">
        <v>22</v>
      </c>
      <c r="E10" s="9">
        <v>140</v>
      </c>
      <c r="F10" s="8"/>
      <c r="G10" s="8"/>
      <c r="H10" s="8" t="s">
        <v>14</v>
      </c>
    </row>
    <row r="11" spans="1:9" ht="20.100000" customHeight="1">
      <c r="A11" s="9">
        <f>ROW()-ROW($A$2)-1</f>
        <v>8</v>
      </c>
      <c r="B11" s="9" t="s">
        <v>17</v>
      </c>
      <c r="C11" s="8" t="s">
        <v>26</v>
      </c>
      <c r="D11" s="9" t="s">
        <v>22</v>
      </c>
      <c r="E11" s="9">
        <v>3500</v>
      </c>
      <c r="F11" s="8"/>
      <c r="G11" s="8"/>
      <c r="H11" s="8" t="s">
        <v>14</v>
      </c>
    </row>
    <row r="12" spans="1:9" ht="20.100000" customHeight="1">
      <c r="A12" s="9">
        <f>ROW()-ROW($A$2)-1</f>
        <v>9</v>
      </c>
      <c r="B12" s="9" t="s">
        <v>17</v>
      </c>
      <c r="C12" s="8" t="s">
        <v>25</v>
      </c>
      <c r="D12" s="9" t="s">
        <v>22</v>
      </c>
      <c r="E12" s="9">
        <v>140</v>
      </c>
      <c r="F12" s="8"/>
      <c r="G12" s="8"/>
      <c r="H12" s="8" t="s">
        <v>14</v>
      </c>
    </row>
    <row r="13" spans="1:9" ht="20.100000" customHeight="1">
      <c r="A13" s="9">
        <f>ROW()-ROW($A$2)-1</f>
        <v>10</v>
      </c>
      <c r="B13" s="9" t="s">
        <v>17</v>
      </c>
      <c r="C13" s="8" t="s">
        <v>24</v>
      </c>
      <c r="D13" s="9" t="s">
        <v>22</v>
      </c>
      <c r="E13" s="9">
        <v>4040</v>
      </c>
      <c r="F13" s="8"/>
      <c r="G13" s="8"/>
      <c r="H13" s="8" t="s">
        <v>14</v>
      </c>
    </row>
    <row r="14" spans="1:9" ht="20.100000" customHeight="1">
      <c r="A14" s="9">
        <f>ROW()-ROW($A$2)-1</f>
        <v>11</v>
      </c>
      <c r="B14" s="9" t="s">
        <v>17</v>
      </c>
      <c r="C14" s="8" t="s">
        <v>23</v>
      </c>
      <c r="D14" s="9" t="s">
        <v>22</v>
      </c>
      <c r="E14" s="9">
        <v>140</v>
      </c>
      <c r="F14" s="8"/>
      <c r="G14" s="8"/>
      <c r="H14" s="8" t="s">
        <v>14</v>
      </c>
    </row>
    <row r="15" spans="1:9" ht="20.100000" customHeight="1">
      <c r="A15" s="7">
        <f>ROW()-ROW($A$2)-1</f>
        <v>12</v>
      </c>
      <c r="B15" s="7" t="s">
        <v>2</v>
      </c>
      <c r="C15" s="6" t="s">
        <v>21</v>
      </c>
      <c r="D15" s="7" t="s">
        <v>19</v>
      </c>
      <c r="E15" s="7">
        <v>4610</v>
      </c>
      <c r="F15" s="6"/>
      <c r="G15" s="6"/>
      <c r="H15" s="6" t="s">
        <v>18</v>
      </c>
    </row>
    <row r="16" spans="1:9" ht="20.100000" customHeight="1">
      <c r="A16" s="7">
        <f>ROW()-ROW($A$2)-1</f>
        <v>13</v>
      </c>
      <c r="B16" s="7" t="s">
        <v>2</v>
      </c>
      <c r="C16" s="6" t="s">
        <v>20</v>
      </c>
      <c r="D16" s="7" t="s">
        <v>19</v>
      </c>
      <c r="E16" s="7">
        <v>9750</v>
      </c>
      <c r="F16" s="6"/>
      <c r="G16" s="6"/>
      <c r="H16" s="6" t="s">
        <v>18</v>
      </c>
    </row>
    <row r="17" spans="1:8" ht="20.100000" customHeight="1">
      <c r="A17" s="5">
        <f>ROW()-ROW($A$2)-1</f>
        <v>14</v>
      </c>
      <c r="B17" s="5" t="s">
        <v>17</v>
      </c>
      <c r="C17" s="4" t="s">
        <v>16</v>
      </c>
      <c r="D17" s="5" t="s">
        <v>15</v>
      </c>
      <c r="E17" s="5">
        <v>600</v>
      </c>
      <c r="F17" s="4"/>
      <c r="G17" s="4"/>
      <c r="H17" s="4" t="s">
        <v>14</v>
      </c>
    </row>
    <row r="18" spans="1:8" ht="20.100000" customHeight="1">
      <c r="A18" s="3">
        <f>ROW()-ROW($A$2)-1</f>
        <v>15</v>
      </c>
      <c r="B18" s="3" t="s">
        <v>2</v>
      </c>
      <c r="C18" s="2" t="s">
        <v>13</v>
      </c>
      <c r="D18" s="3" t="s">
        <v>10</v>
      </c>
      <c r="E18" s="3">
        <v>0</v>
      </c>
      <c r="F18" s="2"/>
      <c r="G18" s="2"/>
      <c r="H18" s="2"/>
    </row>
    <row r="19" spans="1:8" ht="20.100000" customHeight="1">
      <c r="A19" s="3">
        <f>ROW()-ROW($A$2)-1</f>
        <v>16</v>
      </c>
      <c r="B19" s="3" t="s">
        <v>2</v>
      </c>
      <c r="C19" s="2" t="s">
        <v>12</v>
      </c>
      <c r="D19" s="3"/>
      <c r="E19" s="3">
        <v>0</v>
      </c>
      <c r="F19" s="2"/>
      <c r="G19" s="2"/>
      <c r="H19" s="2"/>
    </row>
    <row r="20" spans="1:8" ht="20.100000" customHeight="1">
      <c r="A20" s="3">
        <f>ROW()-ROW($A$2)-1</f>
        <v>17</v>
      </c>
      <c r="B20" s="3" t="s">
        <v>2</v>
      </c>
      <c r="C20" s="2" t="s">
        <v>11</v>
      </c>
      <c r="D20" s="3" t="s">
        <v>10</v>
      </c>
      <c r="E20" s="3">
        <v>0</v>
      </c>
      <c r="F20" s="2"/>
      <c r="G20" s="2"/>
      <c r="H20" s="2"/>
    </row>
    <row r="21" spans="1:8" ht="20.100000" customHeight="1">
      <c r="A21" s="3">
        <f>ROW()-ROW($A$2)-1</f>
        <v>18</v>
      </c>
      <c r="B21" s="3" t="s">
        <v>2</v>
      </c>
      <c r="C21" s="2" t="s">
        <v>9</v>
      </c>
      <c r="D21" s="3"/>
      <c r="E21" s="3">
        <v>10000</v>
      </c>
      <c r="F21" s="2"/>
      <c r="G21" s="2"/>
      <c r="H21" s="2"/>
    </row>
    <row r="22" spans="1:8" ht="20.100000" customHeight="1">
      <c r="A22" s="3">
        <f>ROW()-ROW($A$2)-1</f>
        <v>19</v>
      </c>
      <c r="B22" s="3" t="s">
        <v>2</v>
      </c>
      <c r="C22" s="2" t="s">
        <v>8</v>
      </c>
      <c r="D22" s="3" t="s">
        <v>7</v>
      </c>
      <c r="E22" s="3" t="s">
        <v>6</v>
      </c>
      <c r="F22" s="2"/>
      <c r="G22" s="2"/>
      <c r="H22" s="2"/>
    </row>
    <row r="23" spans="1:8" ht="20.100000" customHeight="1">
      <c r="A23" s="3">
        <f>ROW()-ROW($A$2)-1</f>
        <v>20</v>
      </c>
      <c r="B23" s="3" t="s">
        <v>2</v>
      </c>
      <c r="C23" s="2" t="s">
        <v>5</v>
      </c>
      <c r="D23" s="3" t="s">
        <v>0</v>
      </c>
      <c r="E23" s="3">
        <v>620</v>
      </c>
      <c r="F23" s="2"/>
      <c r="G23" s="2"/>
      <c r="H23" s="2"/>
    </row>
    <row r="24" spans="1:8" ht="20.100000" customHeight="1">
      <c r="A24" s="3">
        <f>ROW()-ROW($A$2)-1</f>
        <v>21</v>
      </c>
      <c r="B24" s="3" t="s">
        <v>2</v>
      </c>
      <c r="C24" s="2" t="s">
        <v>4</v>
      </c>
      <c r="D24" s="3" t="s">
        <v>0</v>
      </c>
      <c r="E24" s="3">
        <v>605</v>
      </c>
      <c r="F24" s="2"/>
      <c r="G24" s="2"/>
      <c r="H24" s="2"/>
    </row>
    <row r="25" spans="1:8" ht="20.100000" customHeight="1">
      <c r="A25" s="3">
        <f>ROW()-ROW($A$2)-1</f>
        <v>22</v>
      </c>
      <c r="B25" s="3" t="s">
        <v>2</v>
      </c>
      <c r="C25" s="2" t="s">
        <v>3</v>
      </c>
      <c r="D25" s="3" t="s">
        <v>0</v>
      </c>
      <c r="E25" s="3">
        <v>564</v>
      </c>
      <c r="F25" s="2"/>
      <c r="G25" s="2"/>
      <c r="H25" s="2"/>
    </row>
    <row r="26" spans="1:8" ht="20.100000" customHeight="1">
      <c r="A26" s="3">
        <f>ROW()-ROW($A$2)-1</f>
        <v>23</v>
      </c>
      <c r="B26" s="3" t="s">
        <v>2</v>
      </c>
      <c r="C26" s="2" t="s">
        <v>1</v>
      </c>
      <c r="D26" s="3" t="s">
        <v>0</v>
      </c>
      <c r="E26" s="3">
        <v>580</v>
      </c>
      <c r="F26" s="2"/>
      <c r="G26" s="2"/>
      <c r="H26" s="2"/>
    </row>
    <row r="27" spans="1:8" ht="20.100000" customHeight="1">
      <c r="A27" s="3">
        <f>ROW()-ROW($A$2)-1</f>
        <v>24</v>
      </c>
      <c r="B27" s="2"/>
      <c r="C27" s="2"/>
      <c r="D27" s="3"/>
      <c r="E27" s="3"/>
      <c r="F27" s="2"/>
      <c r="G27" s="2"/>
      <c r="H27" s="2"/>
    </row>
    <row r="28" spans="1:8" ht="20.100000" customHeight="1">
      <c r="A28" s="3">
        <f>ROW()-ROW($A$2)-1</f>
        <v>25</v>
      </c>
      <c r="B28" s="2"/>
      <c r="C28" s="2"/>
      <c r="D28" s="3"/>
      <c r="E28" s="3"/>
      <c r="F28" s="2"/>
      <c r="G28" s="2"/>
      <c r="H28" s="2"/>
    </row>
    <row r="29" spans="1:8" ht="20.100000" customHeight="1">
      <c r="A29" s="3">
        <f>ROW()-ROW($A$2)-1</f>
        <v>26</v>
      </c>
      <c r="B29" s="2"/>
      <c r="C29" s="2"/>
      <c r="D29" s="3"/>
      <c r="E29" s="3"/>
      <c r="F29" s="2"/>
      <c r="G29" s="2"/>
      <c r="H29" s="2"/>
    </row>
    <row r="30" spans="1:8" ht="20.100000" customHeight="1">
      <c r="A30" s="3">
        <f>ROW()-ROW($A$2)-1</f>
        <v>27</v>
      </c>
      <c r="B30" s="2"/>
      <c r="C30" s="2"/>
      <c r="D30" s="3"/>
      <c r="E30" s="3"/>
      <c r="F30" s="2"/>
      <c r="G30" s="2"/>
      <c r="H30" s="2"/>
    </row>
    <row r="31" spans="1:8" ht="20.100000" customHeight="1">
      <c r="A31" s="3">
        <f>ROW()-ROW($A$2)-1</f>
        <v>28</v>
      </c>
      <c r="B31" s="2"/>
      <c r="C31" s="2"/>
      <c r="D31" s="3"/>
      <c r="E31" s="3"/>
      <c r="F31" s="2"/>
      <c r="G31" s="2"/>
      <c r="H31" s="2"/>
    </row>
    <row r="32" spans="1:8" ht="20.100000" customHeight="1">
      <c r="A32" s="3">
        <f>ROW()-ROW($A$2)-1</f>
        <v>29</v>
      </c>
      <c r="B32" s="2"/>
      <c r="C32" s="2"/>
      <c r="D32" s="3"/>
      <c r="E32" s="3"/>
      <c r="F32" s="2"/>
      <c r="G32" s="2"/>
      <c r="H32" s="2"/>
    </row>
    <row r="33" spans="1:8" ht="20.100000" customHeight="1">
      <c r="A33" s="0"/>
      <c r="B33" s="0"/>
      <c r="C33" s="0"/>
      <c r="D33" s="1"/>
      <c r="E33" s="1"/>
      <c r="F33" s="0"/>
      <c r="G33" s="0"/>
      <c r="H33" s="0"/>
    </row>
    <row r="34" ht="20.100000" customHeight="1"/>
    <row r="35" ht="20.100000" customHeight="1"/>
    <row r="36" ht="20.100000" customHeight="1"/>
    <row r="37" ht="20.100000" customHeight="1"/>
    <row r="38" ht="20.100000" customHeight="1"/>
    <row r="39" ht="20.100000" customHeight="1"/>
    <row r="40" ht="20.100000" customHeight="1"/>
    <row r="41" ht="20.100000" customHeight="1"/>
    <row r="42" ht="20.100000" customHeight="1"/>
    <row r="43" ht="20.100000" customHeight="1"/>
    <row r="44" ht="20.100000" customHeight="1"/>
    <row r="45" ht="20.100000" customHeight="1"/>
  </sheetData>
  <phoneticPr fontId="1" type="noConversion"/>
  <pageMargins left="0.70" right="0.70" top="0.75" bottom="0.75" header="0.30" footer="0.3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1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THESYSTEM</dc:creator>
  <cp:lastModifiedBy>이 학민</cp:lastModifiedBy>
  <cp:version>10.105.262.54977</cp:version>
  <dcterms:modified xsi:type="dcterms:W3CDTF">2025-02-28T07:46:36Z</dcterms:modified>
</cp:coreProperties>
</file>