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?>
<Relationships xmlns="http://schemas.openxmlformats.org/package/2006/relationships"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69.55310"/>
  <workbookPr/>
  <bookViews>
    <workbookView xWindow="360" yWindow="30" windowWidth="25755" windowHeight="11595" tabRatio="500" activeTab="1"/>
  </bookViews>
  <sheets>
    <sheet name="원본" sheetId="1" r:id="rId1"/>
    <sheet name="프로토콜 정의" sheetId="2" r:id="rId2"/>
  </sheets>
  <definedNames/>
  <calcPr calcId="152511" iterate="1"/>
</workbook>
</file>

<file path=xl/sharedStrings.xml><?xml version="1.0" encoding="utf-8"?>
<sst xmlns="http://schemas.openxmlformats.org/spreadsheetml/2006/main" count="211" uniqueCount="211">
  <si>
    <t>메인부 기능
(캠핑카 하부장 설치)</t>
  </si>
  <si>
    <t>분류</t>
  </si>
  <si>
    <t>채널</t>
  </si>
  <si>
    <t>기능</t>
  </si>
  <si>
    <t>비고</t>
  </si>
  <si>
    <t>메인/서브</t>
  </si>
  <si>
    <t>조명</t>
  </si>
  <si>
    <t>PWM</t>
  </si>
  <si>
    <t>8ch</t>
  </si>
  <si>
    <t>조명밝기(Max: 5A)</t>
  </si>
  <si>
    <t>(일반-5ch / RGB-3ch)</t>
  </si>
  <si>
    <t>메인: 일반5ch / 서브: RGB-3ch</t>
  </si>
  <si>
    <t>wet 접점</t>
  </si>
  <si>
    <t>극성?</t>
  </si>
  <si>
    <t>1.물펌프,  2.냉장고,  3.오디오, 4.상시,  5.밸브(2ch), 6.외부등, 7.루프탑</t>
  </si>
  <si>
    <t>(+/- comm 확인 필요)</t>
  </si>
  <si>
    <t>메인</t>
  </si>
  <si>
    <t>Dry 접점</t>
  </si>
  <si>
    <t>in</t>
  </si>
  <si>
    <t>1ch</t>
  </si>
  <si>
    <t>루프탑</t>
  </si>
  <si>
    <t>out</t>
  </si>
  <si>
    <t>인버터</t>
  </si>
  <si>
    <t>히터</t>
  </si>
  <si>
    <t>기존(1)</t>
  </si>
  <si>
    <t>AC 아날로그 값</t>
  </si>
  <si>
    <t xml:space="preserve">에어히터: 아날로그, </t>
  </si>
  <si>
    <t>모터전류제어 2개(메인1개/ 서브 1개)</t>
  </si>
  <si>
    <t>서브</t>
  </si>
  <si>
    <t>디지털 통신</t>
  </si>
  <si>
    <t>온수히터: 통신(RS??)</t>
  </si>
  <si>
    <t>모터전류제어 1개(서브)</t>
  </si>
  <si>
    <t>기존(2)</t>
  </si>
  <si>
    <t>CAN 통신</t>
  </si>
  <si>
    <t>1.에바스펙커 에어</t>
  </si>
  <si>
    <t>2.에바스펙커 온수</t>
  </si>
  <si>
    <t>모터전류제어 1개 2개(서브)</t>
  </si>
  <si>
    <t>전기장판</t>
  </si>
  <si>
    <t>4ch</t>
  </si>
  <si>
    <t>DC 전류값(MAX: 5A)</t>
  </si>
  <si>
    <t>수위센서</t>
  </si>
  <si>
    <t>아날로그</t>
  </si>
  <si>
    <t>저항</t>
  </si>
  <si>
    <t>2ch</t>
  </si>
  <si>
    <t>청수/오수 수위 값</t>
  </si>
  <si>
    <t>수위 값 전달</t>
  </si>
  <si>
    <t>메인: 청수1ch / 서브: 오수1ch</t>
  </si>
  <si>
    <t>온도센서</t>
  </si>
  <si>
    <t>케이스 주변 온도</t>
  </si>
  <si>
    <t>온도값 전달</t>
  </si>
  <si>
    <t>12V 팬동작</t>
  </si>
  <si>
    <t>12V - 0.5A 팬 동작 (30℃:   /40℃:    /50℃:     /60℃:    /70℃: MAX)</t>
  </si>
  <si>
    <t>팬동작</t>
  </si>
  <si>
    <t>전류측정</t>
  </si>
  <si>
    <t>홀센서</t>
  </si>
  <si>
    <t>DC 전류값(MAX: 100A, 정밀도: 1A)</t>
  </si>
  <si>
    <t>주행충전기, 태양광</t>
  </si>
  <si>
    <t>베터리 측정</t>
  </si>
  <si>
    <t>1.차량 베터리</t>
  </si>
  <si>
    <t>DC 전압 측정</t>
  </si>
  <si>
    <t>차량 전압 표출(정밀도: 0.1V)</t>
  </si>
  <si>
    <t>2.캠핑카 베터리</t>
  </si>
  <si>
    <t>적산계 타입</t>
  </si>
  <si>
    <t>션트저항(5pin) - PCB(5pin) - 적산계(5pin) - PCB(2pin)</t>
  </si>
  <si>
    <t>TTL</t>
  </si>
  <si>
    <t>정우 배터리 타입</t>
  </si>
  <si>
    <t>베터리 상태 / 일부정보 액정 표시 및 테블릿 전달</t>
  </si>
  <si>
    <t>오디오 2ch pin / 배터리 최대 2개 사용</t>
  </si>
  <si>
    <t>메인(홀가공)</t>
  </si>
  <si>
    <t>원격시동</t>
  </si>
  <si>
    <t>차량 경보기</t>
  </si>
  <si>
    <t>RS 232</t>
  </si>
  <si>
    <t>테블릿 전달</t>
  </si>
  <si>
    <t>픽닉스 경보기</t>
  </si>
  <si>
    <t>테블릿 통신</t>
  </si>
  <si>
    <t>블루투스</t>
  </si>
  <si>
    <t>상시 연결</t>
  </si>
  <si>
    <t>센서부 기능
(캠핑카 천장 설치)</t>
  </si>
  <si>
    <t>리모컨</t>
  </si>
  <si>
    <t>IR 방식</t>
  </si>
  <si>
    <t>에어컨</t>
  </si>
  <si>
    <t>케리어 에어컨</t>
  </si>
  <si>
    <t>환풍팬</t>
  </si>
  <si>
    <t>맥스팬</t>
  </si>
  <si>
    <t>캠핑카 내부 온도</t>
  </si>
  <si>
    <t>재실확인</t>
  </si>
  <si>
    <t>도플러레이더</t>
  </si>
  <si>
    <t>아날로그 전압값</t>
  </si>
  <si>
    <t>캠핑카 내부 사람 확인용</t>
  </si>
  <si>
    <t>offset 조절 가능</t>
  </si>
  <si>
    <t>충격</t>
  </si>
  <si>
    <t>G센서</t>
  </si>
  <si>
    <t>차량 충격</t>
  </si>
  <si>
    <t>위치</t>
  </si>
  <si>
    <t>자이로센서</t>
  </si>
  <si>
    <t>3축 : 차량 위치별 기울기 확인용</t>
  </si>
  <si>
    <t>화재</t>
  </si>
  <si>
    <t xml:space="preserve">연동형 화재센서 </t>
  </si>
  <si>
    <t>3V 전압 읽기</t>
  </si>
  <si>
    <t>도어</t>
  </si>
  <si>
    <t>마그네틱 센서</t>
  </si>
  <si>
    <t>입력 dry 접점</t>
  </si>
  <si>
    <t>GPS</t>
  </si>
  <si>
    <t>외부 안테나 타입</t>
  </si>
  <si>
    <t>위치값 전달</t>
  </si>
  <si>
    <t>참고</t>
  </si>
  <si>
    <t>통신</t>
  </si>
  <si>
    <t xml:space="preserve">RS 232 </t>
  </si>
  <si>
    <t>추가1</t>
  </si>
  <si>
    <t>CAN</t>
  </si>
  <si>
    <t>메인부-센서부 연결</t>
  </si>
  <si>
    <t>MMS bluetooth 통신 프로토콜 정의</t>
  </si>
  <si>
    <t>통신 프로토콜</t>
  </si>
  <si>
    <t xml:space="preserve"> + Modbus RTU</t>
  </si>
  <si>
    <t xml:space="preserve"> + 요구 응답 최소 시간 : 100ms 이상</t>
  </si>
  <si>
    <t xml:space="preserve"> + Hardware : 9600bps/One stopbit/8bit/no parity/flow control none</t>
  </si>
  <si>
    <t xml:space="preserve"> + 지원 명령어 : [READ] Holding Register, Read Input Register / [WRITE] Write Single Register, Write Multiple Register</t>
  </si>
  <si>
    <t xml:space="preserve"> + Register 단위 : WORD</t>
  </si>
  <si>
    <t xml:space="preserve"> + Slave ID : 0x01</t>
  </si>
  <si>
    <t xml:space="preserve"> + 최대 요구 개수 : 100 (Holding Register)</t>
  </si>
  <si>
    <t>Register Map</t>
  </si>
  <si>
    <t>Address</t>
  </si>
  <si>
    <t>명령코드</t>
  </si>
  <si>
    <t>R/W</t>
  </si>
  <si>
    <t>Order</t>
  </si>
  <si>
    <t>내용</t>
  </si>
  <si>
    <t>CTRL_VERSION</t>
  </si>
  <si>
    <t>R</t>
  </si>
  <si>
    <t>-</t>
  </si>
  <si>
    <t>FIRMWARE VERSION</t>
  </si>
  <si>
    <t>0x0101 - 버전1.1 , 0x0111 - 버전 1.11</t>
  </si>
  <si>
    <t>CTRL_CODE_00</t>
  </si>
  <si>
    <t>REMOTE / LOCAL CODE</t>
  </si>
  <si>
    <t>해당 BIT가 SET (1) 이면 REMOTE / CLEAR(0)이면 LOCAL</t>
  </si>
  <si>
    <t>CTRL_CODE_01</t>
  </si>
  <si>
    <t>화재 반응시간 측정중</t>
  </si>
  <si>
    <t xml:space="preserve">1이면 현재 측정중 (최대 시간 9.99ms)
1 → 0로 바뀌면 시간 측정 완료 </t>
  </si>
  <si>
    <t>CTRL_CODE_02</t>
  </si>
  <si>
    <t>CTRL_CODE_03</t>
  </si>
  <si>
    <t>CTRL_CODE_04</t>
  </si>
  <si>
    <t>CTRL_CODE_05</t>
  </si>
  <si>
    <t>CTRL_CODE_06</t>
  </si>
  <si>
    <t>CTRL_CODE_07</t>
  </si>
  <si>
    <t>CTRL_CODE_08</t>
  </si>
  <si>
    <t>CTRL_CODE_09</t>
  </si>
  <si>
    <t>CTRL_CODE_10</t>
  </si>
  <si>
    <t>CTRL_CODE_11</t>
  </si>
  <si>
    <t>CTRL_CODE_12</t>
  </si>
  <si>
    <t>CTRL_CODE_13</t>
  </si>
  <si>
    <t>CTRL_CODE_14</t>
  </si>
  <si>
    <t>CTRL_CODE_15</t>
  </si>
  <si>
    <t>Fire Alarm
Time</t>
  </si>
  <si>
    <t>16BIT</t>
  </si>
  <si>
    <t>FCU Fire Alarm 반응시간 (÷ 100) / Unit (ms)
Range : 000 ~ 9.99</t>
  </si>
  <si>
    <t>999 = 9.99ms</t>
  </si>
  <si>
    <t>FCU POWER
Voltage</t>
  </si>
  <si>
    <t>FCU 공급 전압 (÷ 100) / Unit (V)
Range : 0000 ~ 99.99</t>
  </si>
  <si>
    <t>2800 = 28.00V</t>
  </si>
  <si>
    <t>FCU POWER
Current</t>
  </si>
  <si>
    <t>FCU 공급 전류 (÷ 1000) / Unit (A)
Range : 0000 ~ 9.999</t>
  </si>
  <si>
    <t>28 = 0.028A</t>
  </si>
  <si>
    <t>FCU POWER
Power (Watt)</t>
  </si>
  <si>
    <t>FCU 공급 전력 (÷ 100) / Unit (W)
Range : 0000 ~ 99.99</t>
  </si>
  <si>
    <t>125 = 1.25Watt</t>
  </si>
  <si>
    <t>Regsistor</t>
  </si>
  <si>
    <t>FCU 저항 값 (ohm 단위)</t>
  </si>
  <si>
    <t>100 = 100ohm
9999 = Open</t>
  </si>
  <si>
    <t>FCU POWER
Fire Alarm Voltage</t>
  </si>
  <si>
    <t>FCU Fire Alarm 전압 (÷ 100) / Unit (V)
Range : 0000 ~ 99.99</t>
  </si>
  <si>
    <t>FCU POWER
Fault Voltage</t>
  </si>
  <si>
    <t>FCU Fault Alarm 전압 (÷ 100) / Unit (V)
Range : 0000 ~ 99.99</t>
  </si>
  <si>
    <t>2400 = 24.00V</t>
  </si>
  <si>
    <t>FCU POWER
SET VOLTAGE</t>
  </si>
  <si>
    <t>FCU POWER ADJUST (×100)
Range : 12.00 ~ 51.50</t>
  </si>
  <si>
    <t>FCU 전압값 설정
2800 = 28.00으로 설정
  * FCU POWER CTRL BIT가 Set(1)이어야 한다.
  * FCU POWER CTRL BIT가 Clear(0)이면 Power Off</t>
  </si>
  <si>
    <t>SPARE</t>
  </si>
  <si>
    <t>RELAY_CODE_00</t>
  </si>
  <si>
    <t>FAULT RELAY ON / OFF</t>
  </si>
  <si>
    <t>해당 BIT가 SET (1) 이면 ON / CLEAR(0)이면 OFF</t>
  </si>
  <si>
    <t>RELAY_CODE_01</t>
  </si>
  <si>
    <t>BIT RELAY ON / OFF
화재 반응시간 측정시 사용 가능</t>
  </si>
  <si>
    <t>2.2K 저항이 설정됨.
CUSTOM CODE 08이 ON되면 0옴으로 변경됨</t>
  </si>
  <si>
    <t>RELAY_CODE_02</t>
  </si>
  <si>
    <t>RELAY 1.0K 저항 ON / OFF</t>
  </si>
  <si>
    <t>RELAY_CODE_03</t>
  </si>
  <si>
    <t>RELAY 2.0K 저항 ON / OFF</t>
  </si>
  <si>
    <t>RELAY_CODE_04</t>
  </si>
  <si>
    <t>RELAY 2.2K 저항 ON / OFF</t>
  </si>
  <si>
    <t>RELAY_CODE_05</t>
  </si>
  <si>
    <t>RELAY 2.4K 저항 ON / OFF</t>
  </si>
  <si>
    <t>PHOTO_TRIG</t>
  </si>
  <si>
    <t xml:space="preserve">응답성 시험용 Photo </t>
  </si>
  <si>
    <t>HV ON OFF</t>
  </si>
  <si>
    <t>FCU POWER ON / OFF</t>
  </si>
  <si>
    <t>CUSTOM_CODE_08</t>
  </si>
  <si>
    <t>[ 기능성 Function Bit ]
FIRE Alarm 반응시간 측정</t>
  </si>
  <si>
    <t>해당 BIT가 1이면 RELAY_CODE_0 ~ 5까지중 RELAY_CODE_01를 제외 하고 OFF
자동 반응 시간 검사 모드 실행 함.</t>
  </si>
  <si>
    <t>CUSTOM_CODE_09</t>
  </si>
  <si>
    <t>[ 기능성 Function Bit ]
OV1 TEST (정상전압)</t>
  </si>
  <si>
    <t>80 Word</t>
  </si>
  <si>
    <t>CUSTOM_CODE_10</t>
  </si>
  <si>
    <t>[ 기능성 Function Bit ]
UV1 TEST (정상전압)</t>
  </si>
  <si>
    <t>80 word</t>
  </si>
  <si>
    <t>CUSTOM_CODE_11</t>
  </si>
  <si>
    <t>[ 기능성 Function Bit ]
OV2 TEST (비정상전압)</t>
  </si>
  <si>
    <t>Windows</t>
  </si>
  <si>
    <t>CUSTOM_CODE_12</t>
  </si>
  <si>
    <t>[ 기능성 Function Bit ]
UV2 TEST (비정상전압)</t>
  </si>
  <si>
    <t xml:space="preserve">11 ~ 90 </t>
  </si>
  <si>
    <t>RAW DATA</t>
  </si>
  <si>
    <t>OV1 TEST (정상전압) , UV1 TEST (정상전압)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</si>
</sst>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7">
    <font>
      <sz val="11.0"/>
      <name val="맑은 고딕"/>
      <color rgb="FF000000"/>
    </font>
    <font>
      <sz val="10.0"/>
      <name val="Arial"/>
      <color rgb="FF000000"/>
    </font>
    <font>
      <sz val="10.0"/>
      <name val="Arial"/>
      <color rgb="FF000000"/>
    </font>
    <font>
      <sz val="10.0"/>
      <name val="Arial"/>
      <color rgb="FF000000"/>
    </font>
    <font>
      <sz val="12.0"/>
      <name val="맑은 고딕"/>
      <color rgb="FF000000"/>
    </font>
    <font>
      <sz val="16.0"/>
      <name val="맑은 고딕"/>
      <color rgb="FF000000"/>
    </font>
    <font>
      <sz val="11.0"/>
      <name val="맑은 고딕"/>
      <color rgb="FFC00000"/>
    </font>
    <font>
      <sz val="11.0"/>
      <name val="맑은 고딕"/>
      <color rgb="FFFFFFFF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008000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sz val="11.0"/>
      <name val="맑은 고딕"/>
      <color theme="1"/>
    </font>
    <font>
      <i/>
      <sz val="11.0"/>
      <name val="맑은 고딕"/>
      <color rgb="FF7F7F7F"/>
    </font>
  </fonts>
  <fills count="39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C000"/>
        <bgColor rgb="FF993300"/>
      </patternFill>
    </fill>
    <fill>
      <patternFill patternType="solid">
        <fgColor rgb="FF339AFF"/>
        <bgColor rgb="FF00B0F0"/>
      </patternFill>
    </fill>
    <fill>
      <patternFill patternType="solid">
        <fgColor rgb="FFFFFFFF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9A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39">
    <border>
      <left/>
      <right/>
      <top/>
      <bottom/>
    </border>
    <border>
      <left/>
      <right/>
      <top/>
      <bottom style="medium">
        <color rgb="FFCCCCFF"/>
      </bottom>
    </border>
    <border>
      <left style="medium">
        <color rgb="FFCCCCFF"/>
      </left>
      <right style="thin">
        <color rgb="FF000000"/>
      </right>
      <top style="medium">
        <color rgb="FFCCCCFF"/>
      </top>
      <bottom style="medium">
        <color rgb="FFCCCCFF"/>
      </bottom>
    </border>
    <border>
      <left style="thin">
        <color rgb="FF000000"/>
      </left>
      <right style="thin">
        <color rgb="FF000000"/>
      </right>
      <top style="medium">
        <color rgb="FFCCCCFF"/>
      </top>
      <bottom style="medium">
        <color rgb="FFCCCCFF"/>
      </bottom>
    </border>
    <border>
      <left style="thin">
        <color rgb="FF000000"/>
      </left>
      <right style="medium">
        <color rgb="FFCCCCFF"/>
      </right>
      <top style="medium">
        <color rgb="FFCCCCFF"/>
      </top>
      <bottom style="medium">
        <color rgb="FFCCCCFF"/>
      </bottom>
    </border>
    <border>
      <left style="medium">
        <color rgb="FFCCCCFF"/>
      </left>
      <right style="medium">
        <color rgb="FFCCCCFF"/>
      </right>
      <top style="medium">
        <color rgb="FFCCCCFF"/>
      </top>
      <bottom style="medium">
        <color rgb="FFCCCCFF"/>
      </bottom>
    </border>
    <border>
      <left style="medium">
        <color rgb="FFCCCCFF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 style="medium">
        <color rgb="FFCCCCFF"/>
      </right>
      <top/>
      <bottom style="dotted">
        <color rgb="FF000000"/>
      </bottom>
    </border>
    <border>
      <left style="medium">
        <color rgb="FFCCCCFF"/>
      </left>
      <right style="medium">
        <color rgb="FFCCCCFF"/>
      </right>
      <top style="medium">
        <color rgb="FFCCCCFF"/>
      </top>
      <bottom style="dotted">
        <color rgb="FFCCCCFF"/>
      </bottom>
    </border>
    <border>
      <left style="medium">
        <color rgb="FFCCCCFF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CCCCFF"/>
      </right>
      <top style="dotted">
        <color rgb="FF000000"/>
      </top>
      <bottom style="dotted">
        <color rgb="FF000000"/>
      </bottom>
    </border>
    <border>
      <left style="medium">
        <color rgb="FFCCCCFF"/>
      </left>
      <right style="medium">
        <color rgb="FFCCCCFF"/>
      </right>
      <top style="dotted">
        <color rgb="FFCCCCFF"/>
      </top>
      <bottom style="dotted">
        <color rgb="FFCCCCFF"/>
      </bottom>
    </border>
    <border>
      <left style="medium">
        <color rgb="FFCCCCFF"/>
      </left>
      <right style="dotted">
        <color rgb="FF000000"/>
      </right>
      <top style="dotted">
        <color rgb="FF000000"/>
      </top>
      <bottom style="medium">
        <color rgb="FFCCCCFF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CCCCFF"/>
      </bottom>
    </border>
    <border>
      <left style="dotted">
        <color rgb="FF000000"/>
      </left>
      <right style="medium">
        <color rgb="FFCCCCFF"/>
      </right>
      <top style="dotted">
        <color rgb="FF000000"/>
      </top>
      <bottom style="medium">
        <color rgb="FFCCCCFF"/>
      </bottom>
    </border>
    <border>
      <left style="medium">
        <color rgb="FFCCCCFF"/>
      </left>
      <right style="medium">
        <color rgb="FFCCCCFF"/>
      </right>
      <top style="dotted">
        <color rgb="FFCCCCFF"/>
      </top>
      <bottom style="medium">
        <color rgb="FFCCCCFF"/>
      </bottom>
    </border>
    <border>
      <left style="medium">
        <color rgb="FFCCCCFF"/>
      </left>
      <right style="dotted">
        <color rgb="FFCCCCFF"/>
      </right>
      <top style="medium">
        <color rgb="FFCCCCFF"/>
      </top>
      <bottom style="dotted">
        <color rgb="FFCCCCFF"/>
      </bottom>
    </border>
    <border>
      <left style="dotted">
        <color rgb="FFCCCCFF"/>
      </left>
      <right style="dotted">
        <color rgb="FFCCCCFF"/>
      </right>
      <top style="medium">
        <color rgb="FFCCCCFF"/>
      </top>
      <bottom style="dotted">
        <color rgb="FFCCCCFF"/>
      </bottom>
    </border>
    <border>
      <left style="dotted">
        <color rgb="FFCCCCFF"/>
      </left>
      <right style="medium">
        <color rgb="FFCCCCFF"/>
      </right>
      <top style="medium">
        <color rgb="FFCCCCFF"/>
      </top>
      <bottom style="dotted">
        <color rgb="FFCCCCFF"/>
      </bottom>
    </border>
    <border>
      <left style="medium">
        <color rgb="FFCCCCFF"/>
      </left>
      <right style="dotted">
        <color rgb="FFCCCCFF"/>
      </right>
      <top style="dotted">
        <color rgb="FFCCCCFF"/>
      </top>
      <bottom style="dotted">
        <color rgb="FFCCCCFF"/>
      </bottom>
    </border>
    <border>
      <left style="dotted">
        <color rgb="FFCCCCFF"/>
      </left>
      <right style="dotted">
        <color rgb="FFCCCCFF"/>
      </right>
      <top style="dotted">
        <color rgb="FFCCCCFF"/>
      </top>
      <bottom style="dotted">
        <color rgb="FFCCCCFF"/>
      </bottom>
    </border>
    <border>
      <left style="dotted">
        <color rgb="FFCCCCFF"/>
      </left>
      <right style="medium">
        <color rgb="FFCCCCFF"/>
      </right>
      <top style="dotted">
        <color rgb="FFCCCCFF"/>
      </top>
      <bottom style="dotted">
        <color rgb="FFCCCCFF"/>
      </bottom>
    </border>
    <border>
      <left style="medium">
        <color rgb="FFCCCCFF"/>
      </left>
      <right style="dotted">
        <color rgb="FFCCCCFF"/>
      </right>
      <top style="dotted">
        <color rgb="FFCCCCFF"/>
      </top>
      <bottom style="medium">
        <color rgb="FFCCCCFF"/>
      </bottom>
    </border>
    <border>
      <left style="dotted">
        <color rgb="FFCCCCFF"/>
      </left>
      <right style="dotted">
        <color rgb="FFCCCCFF"/>
      </right>
      <top style="dotted">
        <color rgb="FFCCCCFF"/>
      </top>
      <bottom style="medium">
        <color rgb="FFCCCCFF"/>
      </bottom>
    </border>
    <border>
      <left style="dotted">
        <color rgb="FFCCCCFF"/>
      </left>
      <right style="medium">
        <color rgb="FFCCCCFF"/>
      </right>
      <top style="dotted">
        <color rgb="FFCCCCFF"/>
      </top>
      <bottom style="medium">
        <color rgb="FFCCCCFF"/>
      </bottom>
    </border>
    <border>
      <left style="medium">
        <color rgb="FFCCCCFF"/>
      </left>
      <right/>
      <top style="medium">
        <color rgb="FFCCCCFF"/>
      </top>
      <bottom style="medium">
        <color rgb="FFCCCC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164" fontId="0" fillId="0" borderId="0" applyAlignment="0" applyBorder="0" applyFont="0" applyProtection="0">
      <alignment wrapText="1"/>
      <protection locked="0"/>
    </xf>
    <xf numFmtId="0" fontId="1" fillId="0" borderId="0" applyAlignment="0" applyBorder="0" applyFont="0" applyProtection="0">
      <alignment vertical="center"/>
    </xf>
    <xf numFmtId="0" fontId="1" fillId="0" borderId="0" applyAlignment="0" applyBorder="0" applyFont="0" applyProtection="0">
      <alignment vertical="center"/>
    </xf>
    <xf numFmtId="0" fontId="2" fillId="0" borderId="0" applyAlignment="0" applyBorder="0" applyFont="0" applyProtection="0">
      <alignment vertical="center"/>
    </xf>
    <xf numFmtId="0" fontId="2" fillId="0" borderId="0" applyAlignment="0" applyBorder="0" applyFont="0" applyProtection="0">
      <alignment vertical="center"/>
    </xf>
    <xf numFmtId="0" fontId="0" fillId="0" borderId="0" applyAlignment="0" applyBorder="0" applyFont="0" applyProtection="0">
      <alignment vertical="center"/>
    </xf>
    <xf numFmtId="0" fontId="0" fillId="0" borderId="0" applyAlignment="0" applyBorder="0" applyFont="0" applyProtection="0">
      <alignment vertical="center"/>
    </xf>
    <xf numFmtId="0" fontId="0" fillId="0" borderId="0" applyAlignment="0" applyBorder="0" applyFont="0" applyProtection="0">
      <alignment vertical="center"/>
    </xf>
    <xf numFmtId="0" fontId="0" fillId="0" borderId="0" applyAlignment="0" applyBorder="0" applyFont="0" applyProtection="0">
      <alignment vertical="center"/>
    </xf>
    <xf numFmtId="0" fontId="0" fillId="0" borderId="0" applyAlignment="0" applyBorder="0" applyFont="0" applyProtection="0">
      <alignment vertical="center"/>
    </xf>
    <xf numFmtId="0" fontId="0" fillId="0" borderId="0" applyAlignment="0" applyBorder="0" applyFont="0" applyProtection="0">
      <alignment vertical="center"/>
    </xf>
    <xf numFmtId="0" fontId="0" fillId="0" borderId="0" applyAlignment="0" applyBorder="0" applyFont="0" applyProtection="0">
      <alignment vertical="center"/>
    </xf>
    <xf numFmtId="0" fontId="0" fillId="0" borderId="0" applyAlignment="0" applyBorder="0" applyFont="0" applyProtection="0">
      <alignment vertical="center"/>
    </xf>
    <xf numFmtId="0" fontId="0" fillId="0" borderId="0" applyAlignment="0" applyBorder="0" applyFont="0" applyProtection="0">
      <alignment vertical="center"/>
    </xf>
    <xf numFmtId="0" fontId="0" fillId="0" borderId="0" applyAlignment="0" applyBorder="0" applyFont="0" applyProtection="0">
      <alignment vertical="center"/>
    </xf>
    <xf numFmtId="43" fontId="1" fillId="0" borderId="0" applyAlignment="0" applyBorder="0" applyFont="0" applyProtection="0">
      <alignment vertical="center"/>
    </xf>
    <xf numFmtId="41" fontId="1" fillId="0" borderId="0" applyAlignment="0" applyBorder="0" applyFont="0" applyProtection="0">
      <alignment vertical="center"/>
    </xf>
    <xf numFmtId="44" fontId="1" fillId="0" borderId="0" applyAlignment="0" applyBorder="0" applyFont="0" applyProtection="0">
      <alignment vertical="center"/>
    </xf>
    <xf numFmtId="42" fontId="1" fillId="0" borderId="0" applyAlignment="0" applyBorder="0" applyFont="0" applyProtection="0">
      <alignment vertical="center"/>
    </xf>
    <xf numFmtId="9" fontId="1" fillId="0" borderId="0" applyAlignment="0" applyBorder="0" applyFon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0" fillId="8" borderId="30" applyAlignment="0" applyFont="0" applyNumberFormat="0" applyProtection="0">
      <alignment vertical="center"/>
    </xf>
    <xf numFmtId="0" fontId="10" fillId="0" borderId="0" applyAlignment="0" applyBorder="0" applyFill="0" applyNumberForma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12" fillId="0" borderId="31" applyAlignment="0" applyFill="0" applyNumberFormat="0" applyProtection="0">
      <alignment vertical="center"/>
    </xf>
    <xf numFmtId="0" fontId="13" fillId="0" borderId="32" applyAlignment="0" applyFill="0" applyNumberFormat="0" applyProtection="0">
      <alignment vertical="center"/>
    </xf>
    <xf numFmtId="0" fontId="14" fillId="0" borderId="33" applyAlignment="0" applyFill="0" applyNumberFormat="0" applyProtection="0">
      <alignment vertical="center"/>
    </xf>
    <xf numFmtId="0" fontId="14" fillId="0" borderId="0" applyAlignment="0" applyBorder="0" applyFill="0" applyNumberFormat="0" applyProtection="0">
      <alignment vertical="center"/>
    </xf>
    <xf numFmtId="0" fontId="15" fillId="9" borderId="34" applyAlignment="0" applyNumberFormat="0" applyProtection="0">
      <alignment vertical="center"/>
    </xf>
    <xf numFmtId="0" fontId="16" fillId="10" borderId="35" applyAlignment="0" applyNumberFormat="0" applyProtection="0">
      <alignment vertical="center"/>
    </xf>
    <xf numFmtId="0" fontId="17" fillId="10" borderId="34" applyAlignment="0" applyNumberFormat="0" applyProtection="0">
      <alignment vertical="center"/>
    </xf>
    <xf numFmtId="0" fontId="18" fillId="11" borderId="36" applyAlignment="0" applyNumberFormat="0" applyProtection="0">
      <alignment vertical="center"/>
    </xf>
    <xf numFmtId="0" fontId="19" fillId="0" borderId="37" applyAlignment="0" applyFill="0" applyNumberFormat="0" applyProtection="0">
      <alignment vertical="center"/>
    </xf>
    <xf numFmtId="0" fontId="20" fillId="0" borderId="38" applyAlignment="0" applyFill="0" applyNumberFormat="0" applyProtection="0">
      <alignment vertical="center"/>
    </xf>
    <xf numFmtId="0" fontId="21" fillId="12" borderId="0" applyAlignment="0" applyBorder="0" applyNumberFormat="0" applyProtection="0">
      <alignment vertical="center"/>
    </xf>
    <xf numFmtId="0" fontId="22" fillId="13" borderId="0" applyAlignment="0" applyBorder="0" applyNumberFormat="0" applyProtection="0">
      <alignment vertical="center"/>
    </xf>
    <xf numFmtId="0" fontId="23" fillId="14" borderId="0" applyAlignment="0" applyBorder="0" applyNumberFormat="0" applyProtection="0">
      <alignment vertical="center"/>
    </xf>
    <xf numFmtId="0" fontId="24" fillId="15" borderId="0" applyAlignment="0" applyBorder="0" applyNumberFormat="0" applyProtection="0">
      <alignment vertical="center"/>
    </xf>
    <xf numFmtId="0" fontId="25" fillId="16" borderId="0" applyAlignment="0" applyBorder="0" applyNumberFormat="0" applyProtection="0">
      <alignment vertical="center"/>
    </xf>
    <xf numFmtId="0" fontId="25" fillId="17" borderId="0" applyAlignment="0" applyBorder="0" applyNumberFormat="0" applyProtection="0">
      <alignment vertical="center"/>
    </xf>
    <xf numFmtId="0" fontId="24" fillId="18" borderId="0" applyAlignment="0" applyBorder="0" applyNumberFormat="0" applyProtection="0">
      <alignment vertical="center"/>
    </xf>
    <xf numFmtId="0" fontId="24" fillId="19" borderId="0" applyAlignment="0" applyBorder="0" applyNumberFormat="0" applyProtection="0">
      <alignment vertical="center"/>
    </xf>
    <xf numFmtId="0" fontId="25" fillId="20" borderId="0" applyAlignment="0" applyBorder="0" applyNumberFormat="0" applyProtection="0">
      <alignment vertical="center"/>
    </xf>
    <xf numFmtId="0" fontId="25" fillId="21" borderId="0" applyAlignment="0" applyBorder="0" applyNumberFormat="0" applyProtection="0">
      <alignment vertical="center"/>
    </xf>
    <xf numFmtId="0" fontId="24" fillId="22" borderId="0" applyAlignment="0" applyBorder="0" applyNumberFormat="0" applyProtection="0">
      <alignment vertical="center"/>
    </xf>
    <xf numFmtId="0" fontId="24" fillId="23" borderId="0" applyAlignment="0" applyBorder="0" applyNumberFormat="0" applyProtection="0">
      <alignment vertical="center"/>
    </xf>
    <xf numFmtId="0" fontId="25" fillId="24" borderId="0" applyAlignment="0" applyBorder="0" applyNumberFormat="0" applyProtection="0">
      <alignment vertical="center"/>
    </xf>
    <xf numFmtId="0" fontId="25" fillId="25" borderId="0" applyAlignment="0" applyBorder="0" applyNumberFormat="0" applyProtection="0">
      <alignment vertical="center"/>
    </xf>
    <xf numFmtId="0" fontId="24" fillId="26" borderId="0" applyAlignment="0" applyBorder="0" applyNumberFormat="0" applyProtection="0">
      <alignment vertical="center"/>
    </xf>
    <xf numFmtId="0" fontId="24" fillId="27" borderId="0" applyAlignment="0" applyBorder="0" applyNumberFormat="0" applyProtection="0">
      <alignment vertical="center"/>
    </xf>
    <xf numFmtId="0" fontId="25" fillId="28" borderId="0" applyAlignment="0" applyBorder="0" applyNumberFormat="0" applyProtection="0">
      <alignment vertical="center"/>
    </xf>
    <xf numFmtId="0" fontId="25" fillId="29" borderId="0" applyAlignment="0" applyBorder="0" applyNumberFormat="0" applyProtection="0">
      <alignment vertical="center"/>
    </xf>
    <xf numFmtId="0" fontId="24" fillId="30" borderId="0" applyAlignment="0" applyBorder="0" applyNumberFormat="0" applyProtection="0">
      <alignment vertical="center"/>
    </xf>
    <xf numFmtId="0" fontId="24" fillId="31" borderId="0" applyAlignment="0" applyBorder="0" applyNumberFormat="0" applyProtection="0">
      <alignment vertical="center"/>
    </xf>
    <xf numFmtId="0" fontId="25" fillId="32" borderId="0" applyAlignment="0" applyBorder="0" applyNumberFormat="0" applyProtection="0">
      <alignment vertical="center"/>
    </xf>
    <xf numFmtId="0" fontId="25" fillId="33" borderId="0" applyAlignment="0" applyBorder="0" applyNumberFormat="0" applyProtection="0">
      <alignment vertical="center"/>
    </xf>
    <xf numFmtId="0" fontId="24" fillId="34" borderId="0" applyAlignment="0" applyBorder="0" applyNumberFormat="0" applyProtection="0">
      <alignment vertical="center"/>
    </xf>
    <xf numFmtId="0" fontId="24" fillId="35" borderId="0" applyAlignment="0" applyBorder="0" applyNumberFormat="0" applyProtection="0">
      <alignment vertical="center"/>
    </xf>
    <xf numFmtId="0" fontId="25" fillId="36" borderId="0" applyAlignment="0" applyBorder="0" applyNumberFormat="0" applyProtection="0">
      <alignment vertical="center"/>
    </xf>
    <xf numFmtId="0" fontId="25" fillId="37" borderId="0" applyAlignment="0" applyBorder="0" applyNumberFormat="0" applyProtection="0">
      <alignment vertical="center"/>
    </xf>
    <xf numFmtId="0" fontId="24" fillId="38" borderId="0" applyAlignment="0" applyBorder="0" applyNumberFormat="0" applyProtection="0">
      <alignment vertical="center"/>
    </xf>
    <xf numFmtId="0" fontId="26" fillId="0" borderId="0" applyAlignment="0" applyBorder="0" applyFill="0" applyNumberFormat="0" applyProtection="0">
      <alignment vertical="center"/>
    </xf>
  </cellStyleXfs>
  <cellXfs count="49">
    <xf numFmtId="164" fontId="0" fillId="0" borderId="0" xfId="0">
      <alignment wrapText="1"/>
      <protection locked="0"/>
    </xf>
    <xf numFmtId="164" fontId="4" fillId="0" borderId="0" xfId="0">
      <alignment horizontal="center" vertical="center" wrapText="1"/>
      <protection locked="0"/>
    </xf>
    <xf numFmtId="165" fontId="5" fillId="0" borderId="1" xfId="0">
      <alignment horizontal="right" vertical="center" wrapText="1"/>
      <protection locked="0"/>
    </xf>
    <xf numFmtId="164" fontId="4" fillId="2" borderId="2" xfId="0">
      <alignment horizontal="center" vertical="center" wrapText="1"/>
      <protection locked="0"/>
    </xf>
    <xf numFmtId="164" fontId="4" fillId="2" borderId="3" xfId="0">
      <alignment horizontal="center" vertical="center" wrapText="1"/>
      <protection locked="0"/>
    </xf>
    <xf numFmtId="164" fontId="4" fillId="2" borderId="4" xfId="0">
      <alignment horizontal="center" vertical="center" wrapText="1"/>
      <protection locked="0"/>
    </xf>
    <xf numFmtId="164" fontId="4" fillId="2" borderId="5" xfId="0">
      <alignment horizontal="center" vertical="center" wrapText="1"/>
      <protection locked="0"/>
    </xf>
    <xf numFmtId="164" fontId="4" fillId="0" borderId="6" xfId="0">
      <alignment horizontal="center" vertical="center" wrapText="1"/>
      <protection locked="0"/>
    </xf>
    <xf numFmtId="164" fontId="4" fillId="0" borderId="7" xfId="0">
      <alignment horizontal="center" vertical="center" wrapText="1"/>
      <protection locked="0"/>
    </xf>
    <xf numFmtId="164" fontId="4" fillId="0" borderId="8" xfId="0">
      <alignment horizontal="center" vertical="center" wrapText="1"/>
      <protection locked="0"/>
    </xf>
    <xf numFmtId="164" fontId="4" fillId="0" borderId="9" xfId="0">
      <alignment horizontal="center" vertical="center" wrapText="1"/>
      <protection locked="0"/>
    </xf>
    <xf numFmtId="164" fontId="4" fillId="0" borderId="10" xfId="0">
      <alignment horizontal="center" vertical="center" wrapText="1"/>
      <protection locked="0"/>
    </xf>
    <xf numFmtId="164" fontId="4" fillId="0" borderId="11" xfId="0">
      <alignment horizontal="center" vertical="center" wrapText="1"/>
      <protection locked="0"/>
    </xf>
    <xf numFmtId="164" fontId="4" fillId="0" borderId="12" xfId="0">
      <alignment horizontal="center" vertical="center" wrapText="1"/>
      <protection locked="0"/>
    </xf>
    <xf numFmtId="164" fontId="4" fillId="0" borderId="13" xfId="0">
      <alignment horizontal="center" vertical="center" wrapText="1"/>
      <protection locked="0"/>
    </xf>
    <xf numFmtId="164" fontId="4" fillId="0" borderId="14" xfId="0">
      <alignment horizontal="center" vertical="center" wrapText="1"/>
      <protection locked="0"/>
    </xf>
    <xf numFmtId="164" fontId="4" fillId="0" borderId="15" xfId="0">
      <alignment horizontal="center" vertical="center" wrapText="1"/>
      <protection locked="0"/>
    </xf>
    <xf numFmtId="164" fontId="4" fillId="0" borderId="16" xfId="0">
      <alignment horizontal="center" vertical="center" wrapText="1"/>
      <protection locked="0"/>
    </xf>
    <xf numFmtId="164" fontId="4" fillId="0" borderId="17" xfId="0">
      <alignment horizontal="center" vertical="center" wrapText="1"/>
      <protection locked="0"/>
    </xf>
    <xf numFmtId="164" fontId="4" fillId="0" borderId="18" xfId="0">
      <alignment horizontal="center" vertical="center" wrapText="1"/>
      <protection locked="0"/>
    </xf>
    <xf numFmtId="164" fontId="4" fillId="0" borderId="19" xfId="0">
      <alignment horizontal="center" vertical="center" wrapText="1"/>
      <protection locked="0"/>
    </xf>
    <xf numFmtId="164" fontId="4" fillId="0" borderId="20" xfId="0">
      <alignment horizontal="center" vertical="center" wrapText="1"/>
      <protection locked="0"/>
    </xf>
    <xf numFmtId="164" fontId="4" fillId="0" borderId="21" xfId="0">
      <alignment horizontal="center" vertical="center" wrapText="1"/>
      <protection locked="0"/>
    </xf>
    <xf numFmtId="164" fontId="4" fillId="0" borderId="22" xfId="0">
      <alignment horizontal="center" vertical="center" wrapText="1"/>
      <protection locked="0"/>
    </xf>
    <xf numFmtId="164" fontId="4" fillId="0" borderId="23" xfId="0">
      <alignment horizontal="center" vertical="center" wrapText="1"/>
      <protection locked="0"/>
    </xf>
    <xf numFmtId="164" fontId="4" fillId="0" borderId="24" xfId="0">
      <alignment horizontal="center" vertical="center" wrapText="1"/>
      <protection locked="0"/>
    </xf>
    <xf numFmtId="164" fontId="4" fillId="0" borderId="25" xfId="0">
      <alignment horizontal="center" vertical="center" wrapText="1"/>
      <protection locked="0"/>
    </xf>
    <xf numFmtId="164" fontId="4" fillId="0" borderId="26" xfId="0">
      <alignment horizontal="center" vertical="center" wrapText="1"/>
      <protection locked="0"/>
    </xf>
    <xf numFmtId="164" fontId="4" fillId="2" borderId="27" xfId="0">
      <alignment horizontal="center" vertical="center" wrapText="1"/>
      <protection locked="0"/>
    </xf>
    <xf numFmtId="164" fontId="0" fillId="0" borderId="0" xfId="0">
      <alignment horizontal="center" vertical="center" wrapText="1"/>
      <protection locked="0"/>
    </xf>
    <xf numFmtId="164" fontId="0" fillId="0" borderId="0" xfId="0">
      <alignment horizontal="left" vertical="center" wrapText="1"/>
      <protection locked="0"/>
    </xf>
    <xf numFmtId="164" fontId="0" fillId="0" borderId="0" xfId="0">
      <alignment vertical="center" wrapText="1"/>
      <protection locked="0"/>
    </xf>
    <xf numFmtId="164" fontId="6" fillId="3" borderId="0" xfId="0">
      <alignment horizontal="left" vertical="center" wrapText="1"/>
      <protection locked="0"/>
    </xf>
    <xf numFmtId="164" fontId="6" fillId="3" borderId="0" xfId="0">
      <alignment horizontal="center" vertical="center" wrapText="1"/>
      <protection locked="0"/>
    </xf>
    <xf numFmtId="164" fontId="7" fillId="4" borderId="28" xfId="0">
      <alignment horizontal="center" vertical="center" wrapText="1"/>
      <protection locked="0"/>
    </xf>
    <xf numFmtId="164" fontId="7" fillId="4" borderId="28" xfId="0">
      <alignment horizontal="left" vertical="center" wrapText="1"/>
      <protection locked="0"/>
    </xf>
    <xf numFmtId="164" fontId="0" fillId="0" borderId="28" xfId="0">
      <alignment horizontal="center" vertical="center" wrapText="1"/>
      <protection locked="0"/>
    </xf>
    <xf numFmtId="164" fontId="0" fillId="5" borderId="28" xfId="0">
      <alignment horizontal="center" vertical="center" wrapText="1"/>
      <protection locked="0"/>
    </xf>
    <xf numFmtId="164" fontId="0" fillId="0" borderId="28" xfId="0">
      <alignment horizontal="left" vertical="center" wrapText="1"/>
      <protection locked="0"/>
    </xf>
    <xf numFmtId="164" fontId="0" fillId="0" borderId="28" xfId="0">
      <alignment vertical="center" wrapText="1"/>
      <protection locked="0"/>
    </xf>
    <xf numFmtId="164" fontId="0" fillId="0" borderId="29" xfId="0">
      <alignment vertical="center" wrapText="1"/>
      <protection locked="0"/>
    </xf>
    <xf numFmtId="164" fontId="0" fillId="6" borderId="28" xfId="0">
      <alignment horizontal="center" vertical="center" wrapText="1"/>
      <protection locked="0"/>
    </xf>
    <xf numFmtId="164" fontId="0" fillId="6" borderId="28" xfId="0">
      <alignment horizontal="left" vertical="center" wrapText="1"/>
      <protection locked="0"/>
    </xf>
    <xf numFmtId="164" fontId="0" fillId="6" borderId="29" xfId="0">
      <alignment vertical="center" wrapText="1"/>
      <protection locked="0"/>
    </xf>
    <xf numFmtId="164" fontId="0" fillId="7" borderId="28" xfId="0">
      <alignment horizontal="center" vertical="center" wrapText="1"/>
      <protection locked="0"/>
    </xf>
    <xf numFmtId="164" fontId="0" fillId="7" borderId="28" xfId="0">
      <alignment horizontal="left" vertical="center" wrapText="1"/>
      <protection locked="0"/>
    </xf>
    <xf numFmtId="164" fontId="0" fillId="7" borderId="29" xfId="0">
      <alignment vertical="center" wrapText="1"/>
      <protection locked="0"/>
    </xf>
    <xf numFmtId="164" fontId="0" fillId="0" borderId="0" xfId="0" applyBorder="1" applyAlignment="1">
      <alignment horizontal="center" vertical="center" wrapText="1"/>
      <protection locked="0"/>
    </xf>
    <xf numFmtId="164" fontId="6" fillId="3" borderId="0" xfId="0" applyBorder="1" applyAlignment="1">
      <alignment horizontal="center" vertical="center" wrapText="1"/>
      <protection locked="0"/>
    </xf>
  </cellXfs>
  <cellStyles count="49">
    <cellStyle name="20% - 강조색1" xfId="39" builtinId="30"/>
    <cellStyle name="20% - 강조색2" xfId="43" builtinId="34"/>
    <cellStyle name="20% - 강조색3" xfId="47" builtinId="38"/>
    <cellStyle name="20% - 강조색4" xfId="51" builtinId="42"/>
    <cellStyle name="20% - 강조색5" xfId="55" builtinId="46"/>
    <cellStyle name="20% - 강조색6" xfId="59" builtinId="50"/>
    <cellStyle name="40% - 강조색1" xfId="40" builtinId="31"/>
    <cellStyle name="40% - 강조색2" xfId="44" builtinId="35"/>
    <cellStyle name="40% - 강조색3" xfId="48" builtinId="39"/>
    <cellStyle name="40% - 강조색4" xfId="52" builtinId="43"/>
    <cellStyle name="40% - 강조색5" xfId="56" builtinId="47"/>
    <cellStyle name="40% - 강조색6" xfId="60" builtinId="51"/>
    <cellStyle name="60% - 강조색1" xfId="41" builtinId="32"/>
    <cellStyle name="60% - 강조색2" xfId="45" builtinId="36"/>
    <cellStyle name="60% - 강조색3" xfId="49" builtinId="40"/>
    <cellStyle name="60% - 강조색4" xfId="53" builtinId="44"/>
    <cellStyle name="60% - 강조색5" xfId="57" builtinId="48"/>
    <cellStyle name="60% - 강조색6" xfId="61" builtinId="52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강조색1" xfId="38" builtinId="29"/>
    <cellStyle name="강조색2" xfId="42" builtinId="33"/>
    <cellStyle name="강조색3" xfId="46" builtinId="37"/>
    <cellStyle name="강조색4" xfId="50" builtinId="41"/>
    <cellStyle name="강조색5" xfId="54" builtinId="45"/>
    <cellStyle name="강조색6" xfId="58" builtinId="49"/>
    <cellStyle name="경고문" xfId="23" builtinId="11"/>
    <cellStyle name="계산" xfId="31" builtinId="22"/>
    <cellStyle name="나쁨" xfId="36" builtinId="27"/>
    <cellStyle name="메모" xfId="22" builtinId="10"/>
    <cellStyle name="보통" xfId="37" builtinId="28"/>
    <cellStyle name="설명텍스트" xfId="62" builtinId="53"/>
    <cellStyle name="셀 확인" xfId="32" builtinId="23"/>
    <cellStyle name="연결된 셀" xfId="33" builtinId="24"/>
    <cellStyle name="열어본 하이퍼링크" xfId="21" builtinId="9" hidden="1"/>
    <cellStyle name="요약" xfId="34" builtinId="25"/>
    <cellStyle name="입력" xfId="29" builtinId="20"/>
    <cellStyle name="제목" xfId="24" builtinId="15"/>
    <cellStyle name="제목 1" xfId="25" builtinId="16"/>
    <cellStyle name="제목 2" xfId="26" builtinId="17"/>
    <cellStyle name="제목 3" xfId="27" builtinId="18"/>
    <cellStyle name="제목 4" xfId="28" builtinId="19"/>
    <cellStyle name="좋음" xfId="35" builtinId="26"/>
    <cellStyle name="출력" xfId="30" builtinId="21"/>
    <cellStyle name="하이퍼링크" xfId="20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showZeros="0" view="normal" zoomScale="85" zoomScaleNormal="85" zoomScaleSheetLayoutView="60" workbookViewId="0">
      <selection activeCell="A1" sqref="A1"/>
    </sheetView>
  </sheetViews>
  <sheetFormatPr defaultColWidth="9.01171875" defaultRowHeight="16.500000"/>
  <cols>
    <col min="1" max="1" style="1" width="20.00499916" customWidth="1" outlineLevel="0"/>
    <col min="2" max="2" style="1" width="18.37999916" customWidth="1" outlineLevel="0"/>
    <col min="3" max="3" style="1" width="20.25499916" customWidth="1" outlineLevel="0"/>
    <col min="4" max="4" style="1" width="7.88000011" customWidth="1" outlineLevel="0"/>
    <col min="5" max="5" style="1" width="72.87999725" customWidth="1" outlineLevel="0"/>
    <col min="6" max="6" style="1" width="39.13000107" customWidth="1" outlineLevel="0"/>
    <col min="7" max="7" style="1" width="29.00499916" customWidth="1" outlineLevel="0"/>
    <col min="8" max="8" style="1" width="9.00500011" customWidth="1" outlineLevel="0"/>
  </cols>
  <sheetData>
    <row r="1" spans="1:7" ht="27.000000" customHeight="1">
      <c r="F1" s="2">
        <v>44428</v>
      </c>
      <c r="G1" s="2"/>
    </row>
    <row r="2" spans="1:7" ht="38.250000" customHeight="1">
      <c r="A2" s="3" t="s">
        <v>0</v>
      </c>
      <c r="B2" s="4" t="s">
        <v>1</v>
      </c>
      <c r="C2" s="4"/>
      <c r="D2" s="4" t="s">
        <v>2</v>
      </c>
      <c r="E2" s="4" t="s">
        <v>3</v>
      </c>
      <c r="F2" s="5" t="s">
        <v>4</v>
      </c>
      <c r="G2" s="6" t="s">
        <v>5</v>
      </c>
    </row>
    <row r="3" spans="1:7" ht="17.250000" customHeight="1">
      <c r="A3" s="7" t="s">
        <v>6</v>
      </c>
      <c r="B3" s="8" t="s">
        <v>7</v>
      </c>
      <c r="C3" s="8"/>
      <c r="D3" s="8" t="s">
        <v>8</v>
      </c>
      <c r="E3" s="8" t="s">
        <v>9</v>
      </c>
      <c r="F3" s="9" t="s">
        <v>10</v>
      </c>
      <c r="G3" s="10" t="s">
        <v>11</v>
      </c>
    </row>
    <row r="4" spans="1:7" ht="17.250000" customHeight="1">
      <c r="A4" s="11" t="s">
        <v>12</v>
      </c>
      <c r="B4" s="12" t="s">
        <v>13</v>
      </c>
      <c r="C4" s="12"/>
      <c r="D4" s="12" t="s">
        <v>8</v>
      </c>
      <c r="E4" s="12" t="s">
        <v>14</v>
      </c>
      <c r="F4" s="13" t="s">
        <v>15</v>
      </c>
      <c r="G4" s="14" t="s">
        <v>16</v>
      </c>
    </row>
    <row r="5" spans="1:7" ht="17.250000" customHeight="1">
      <c r="A5" s="11" t="s">
        <v>17</v>
      </c>
      <c r="B5" s="12" t="s">
        <v>18</v>
      </c>
      <c r="C5" s="12"/>
      <c r="D5" s="12" t="s">
        <v>19</v>
      </c>
      <c r="E5" s="12" t="s">
        <v>20</v>
      </c>
      <c r="F5" s="13"/>
      <c r="G5" s="14" t="s">
        <v>16</v>
      </c>
    </row>
    <row r="6" spans="1:7" ht="17.250000" customHeight="1">
      <c r="A6" s="11"/>
      <c r="B6" s="12" t="s">
        <v>21</v>
      </c>
      <c r="C6" s="12"/>
      <c r="D6" s="12" t="s">
        <v>19</v>
      </c>
      <c r="E6" s="12" t="s">
        <v>22</v>
      </c>
      <c r="F6" s="13"/>
      <c r="G6" s="14" t="s">
        <v>16</v>
      </c>
    </row>
    <row r="7" spans="1:7" ht="17.250000" customHeight="1">
      <c r="A7" s="11" t="s">
        <v>23</v>
      </c>
      <c r="B7" s="12" t="s">
        <v>24</v>
      </c>
      <c r="C7" s="12" t="s">
        <v>25</v>
      </c>
      <c r="D7" s="12" t="s">
        <v>19</v>
      </c>
      <c r="E7" s="12" t="s">
        <v>26</v>
      </c>
      <c r="F7" s="13" t="s">
        <v>27</v>
      </c>
      <c r="G7" s="14" t="s">
        <v>28</v>
      </c>
    </row>
    <row r="8" spans="1:7" ht="17.250000" customHeight="1">
      <c r="A8" s="11"/>
      <c r="B8" s="12"/>
      <c r="C8" s="12" t="s">
        <v>29</v>
      </c>
      <c r="D8" s="12" t="s">
        <v>19</v>
      </c>
      <c r="E8" s="12" t="s">
        <v>30</v>
      </c>
      <c r="F8" s="13" t="s">
        <v>31</v>
      </c>
      <c r="G8" s="14" t="s">
        <v>28</v>
      </c>
    </row>
    <row r="9" spans="1:7" ht="17.250000" customHeight="1">
      <c r="A9" s="11"/>
      <c r="B9" s="12" t="s">
        <v>32</v>
      </c>
      <c r="C9" s="12" t="s">
        <v>33</v>
      </c>
      <c r="D9" s="12" t="s">
        <v>19</v>
      </c>
      <c r="E9" s="12" t="s">
        <v>34</v>
      </c>
      <c r="F9" s="13" t="s">
        <v>27</v>
      </c>
      <c r="G9" s="14" t="s">
        <v>16</v>
      </c>
    </row>
    <row r="10" spans="1:7" ht="17.250000" customHeight="1">
      <c r="A10" s="11"/>
      <c r="B10" s="12"/>
      <c r="C10" s="12" t="s">
        <v>33</v>
      </c>
      <c r="D10" s="12"/>
      <c r="E10" s="12" t="s">
        <v>35</v>
      </c>
      <c r="F10" s="13" t="s">
        <v>36</v>
      </c>
      <c r="G10" s="14" t="s">
        <v>16</v>
      </c>
    </row>
    <row r="11" spans="1:7" ht="17.250000" customHeight="1">
      <c r="A11" s="11" t="s">
        <v>37</v>
      </c>
      <c r="B11" s="8" t="s">
        <v>7</v>
      </c>
      <c r="C11" s="12"/>
      <c r="D11" s="12" t="s">
        <v>38</v>
      </c>
      <c r="E11" s="12" t="s">
        <v>39</v>
      </c>
      <c r="F11" s="13"/>
      <c r="G11" s="14" t="s">
        <v>28</v>
      </c>
    </row>
    <row r="12" spans="1:7" ht="17.250000" customHeight="1">
      <c r="A12" s="11" t="s">
        <v>40</v>
      </c>
      <c r="B12" s="12" t="s">
        <v>41</v>
      </c>
      <c r="C12" s="12" t="s">
        <v>42</v>
      </c>
      <c r="D12" s="12" t="s">
        <v>43</v>
      </c>
      <c r="E12" s="12" t="s">
        <v>44</v>
      </c>
      <c r="F12" s="13" t="s">
        <v>45</v>
      </c>
      <c r="G12" s="14" t="s">
        <v>46</v>
      </c>
    </row>
    <row r="13" spans="1:7" ht="17.250000" customHeight="1">
      <c r="A13" s="11" t="s">
        <v>47</v>
      </c>
      <c r="B13" s="12" t="s">
        <v>41</v>
      </c>
      <c r="C13" s="12" t="s">
        <v>42</v>
      </c>
      <c r="D13" s="12" t="s">
        <v>19</v>
      </c>
      <c r="E13" s="12" t="s">
        <v>48</v>
      </c>
      <c r="F13" s="13" t="s">
        <v>49</v>
      </c>
      <c r="G13" s="14" t="s">
        <v>28</v>
      </c>
    </row>
    <row r="14" spans="1:7" ht="17.250000" customHeight="1">
      <c r="A14" s="11"/>
      <c r="B14" s="12"/>
      <c r="C14" s="12" t="s">
        <v>50</v>
      </c>
      <c r="D14" s="12" t="s">
        <v>19</v>
      </c>
      <c r="E14" s="12" t="s">
        <v>51</v>
      </c>
      <c r="F14" s="13" t="s">
        <v>52</v>
      </c>
      <c r="G14" s="14" t="s">
        <v>28</v>
      </c>
    </row>
    <row r="15" spans="1:7" ht="17.250000" customHeight="1">
      <c r="A15" s="11" t="s">
        <v>53</v>
      </c>
      <c r="B15" s="12" t="s">
        <v>54</v>
      </c>
      <c r="C15" s="12"/>
      <c r="D15" s="12" t="s">
        <v>43</v>
      </c>
      <c r="E15" s="12" t="s">
        <v>55</v>
      </c>
      <c r="F15" s="13" t="s">
        <v>56</v>
      </c>
      <c r="G15" s="14" t="s">
        <v>28</v>
      </c>
    </row>
    <row r="16" spans="1:7" ht="17.250000" customHeight="1">
      <c r="A16" s="11" t="s">
        <v>57</v>
      </c>
      <c r="B16" s="12" t="s">
        <v>58</v>
      </c>
      <c r="C16" s="12" t="s">
        <v>59</v>
      </c>
      <c r="D16" s="12" t="s">
        <v>19</v>
      </c>
      <c r="E16" s="12" t="s">
        <v>60</v>
      </c>
      <c r="F16" s="13"/>
      <c r="G16" s="14" t="s">
        <v>16</v>
      </c>
    </row>
    <row r="17" spans="1:7" ht="17.250000" customHeight="1">
      <c r="A17" s="11"/>
      <c r="B17" s="12" t="s">
        <v>61</v>
      </c>
      <c r="C17" s="12" t="s">
        <v>62</v>
      </c>
      <c r="D17" s="12" t="s">
        <v>19</v>
      </c>
      <c r="E17" s="12" t="s">
        <v>63</v>
      </c>
      <c r="F17" s="13" t="s">
        <v>64</v>
      </c>
      <c r="G17" s="14" t="s">
        <v>28</v>
      </c>
    </row>
    <row r="18" spans="1:7" ht="17.250000" customHeight="1">
      <c r="A18" s="11"/>
      <c r="B18" s="12"/>
      <c r="C18" s="12" t="s">
        <v>65</v>
      </c>
      <c r="D18" s="12" t="s">
        <v>43</v>
      </c>
      <c r="E18" s="12" t="s">
        <v>66</v>
      </c>
      <c r="F18" s="13" t="s">
        <v>67</v>
      </c>
      <c r="G18" s="14" t="s">
        <v>68</v>
      </c>
    </row>
    <row r="19" spans="1:7" ht="17.250000" customHeight="1">
      <c r="A19" s="11" t="s">
        <v>69</v>
      </c>
      <c r="B19" s="12" t="s">
        <v>70</v>
      </c>
      <c r="C19" s="12" t="s">
        <v>71</v>
      </c>
      <c r="D19" s="12" t="s">
        <v>19</v>
      </c>
      <c r="E19" s="12" t="s">
        <v>72</v>
      </c>
      <c r="F19" s="13" t="s">
        <v>73</v>
      </c>
      <c r="G19" s="14" t="s">
        <v>16</v>
      </c>
    </row>
    <row r="20" spans="1:7" ht="18.000000" customHeight="1">
      <c r="A20" s="15" t="s">
        <v>74</v>
      </c>
      <c r="B20" s="16" t="s">
        <v>75</v>
      </c>
      <c r="C20" s="16"/>
      <c r="D20" s="16" t="s">
        <v>19</v>
      </c>
      <c r="E20" s="16" t="s">
        <v>76</v>
      </c>
      <c r="F20" s="17"/>
      <c r="G20" s="18" t="s">
        <v>16</v>
      </c>
    </row>
    <row r="21" ht="18.000000" customHeight="1"/>
    <row r="22" spans="1:7" ht="35.250000" customHeight="1">
      <c r="A22" s="3" t="s">
        <v>77</v>
      </c>
      <c r="B22" s="4" t="s">
        <v>1</v>
      </c>
      <c r="C22" s="4"/>
      <c r="D22" s="4" t="s">
        <v>2</v>
      </c>
      <c r="E22" s="4" t="s">
        <v>3</v>
      </c>
      <c r="F22" s="5" t="s">
        <v>4</v>
      </c>
      <c r="G22" s="6"/>
    </row>
    <row r="23" spans="1:7" ht="17.250000" customHeight="1">
      <c r="A23" s="19" t="s">
        <v>78</v>
      </c>
      <c r="B23" s="20" t="s">
        <v>79</v>
      </c>
      <c r="C23" s="20" t="s">
        <v>80</v>
      </c>
      <c r="D23" s="20" t="s">
        <v>43</v>
      </c>
      <c r="E23" s="20" t="s">
        <v>81</v>
      </c>
      <c r="F23" s="21"/>
      <c r="G23" s="10"/>
    </row>
    <row r="24" spans="1:7" ht="17.250000" customHeight="1">
      <c r="A24" s="22"/>
      <c r="B24" s="23"/>
      <c r="C24" s="23" t="s">
        <v>82</v>
      </c>
      <c r="D24" s="23" t="s">
        <v>19</v>
      </c>
      <c r="E24" s="23" t="s">
        <v>83</v>
      </c>
      <c r="F24" s="24"/>
      <c r="G24" s="14"/>
    </row>
    <row r="25" spans="1:7" ht="17.250000" customHeight="1">
      <c r="A25" s="22" t="s">
        <v>47</v>
      </c>
      <c r="B25" s="23" t="s">
        <v>41</v>
      </c>
      <c r="C25" s="23" t="s">
        <v>42</v>
      </c>
      <c r="D25" s="23" t="s">
        <v>19</v>
      </c>
      <c r="E25" s="23" t="s">
        <v>84</v>
      </c>
      <c r="F25" s="24" t="s">
        <v>49</v>
      </c>
      <c r="G25" s="14"/>
    </row>
    <row r="26" spans="1:7" ht="17.250000" customHeight="1">
      <c r="A26" s="22" t="s">
        <v>85</v>
      </c>
      <c r="B26" s="23" t="s">
        <v>86</v>
      </c>
      <c r="C26" s="23" t="s">
        <v>87</v>
      </c>
      <c r="D26" s="23" t="s">
        <v>19</v>
      </c>
      <c r="E26" s="23" t="s">
        <v>88</v>
      </c>
      <c r="F26" s="24" t="s">
        <v>89</v>
      </c>
      <c r="G26" s="14"/>
    </row>
    <row r="27" spans="1:7" ht="17.250000" customHeight="1">
      <c r="A27" s="22" t="s">
        <v>90</v>
      </c>
      <c r="B27" s="23" t="s">
        <v>91</v>
      </c>
      <c r="C27" s="23"/>
      <c r="D27" s="23" t="s">
        <v>19</v>
      </c>
      <c r="E27" s="23" t="s">
        <v>92</v>
      </c>
      <c r="F27" s="24"/>
      <c r="G27" s="14"/>
    </row>
    <row r="28" spans="1:7" ht="17.250000" customHeight="1">
      <c r="A28" s="22" t="s">
        <v>93</v>
      </c>
      <c r="B28" s="23" t="s">
        <v>94</v>
      </c>
      <c r="C28" s="23"/>
      <c r="D28" s="23" t="s">
        <v>19</v>
      </c>
      <c r="E28" s="23" t="s">
        <v>95</v>
      </c>
      <c r="F28" s="24"/>
      <c r="G28" s="14"/>
    </row>
    <row r="29" spans="1:7" ht="17.250000" customHeight="1">
      <c r="A29" s="22" t="s">
        <v>96</v>
      </c>
      <c r="B29" s="23" t="s">
        <v>97</v>
      </c>
      <c r="C29" s="23"/>
      <c r="D29" s="23" t="s">
        <v>19</v>
      </c>
      <c r="E29" s="23" t="s">
        <v>98</v>
      </c>
      <c r="F29" s="24"/>
      <c r="G29" s="14"/>
    </row>
    <row r="30" spans="1:7" ht="17.250000" customHeight="1">
      <c r="A30" s="22" t="s">
        <v>99</v>
      </c>
      <c r="B30" s="23" t="s">
        <v>100</v>
      </c>
      <c r="C30" s="23"/>
      <c r="D30" s="23" t="s">
        <v>19</v>
      </c>
      <c r="E30" s="23" t="s">
        <v>101</v>
      </c>
      <c r="F30" s="24"/>
      <c r="G30" s="14"/>
    </row>
    <row r="31" spans="1:7" ht="18.000000" customHeight="1">
      <c r="A31" s="25" t="s">
        <v>102</v>
      </c>
      <c r="B31" s="26" t="s">
        <v>103</v>
      </c>
      <c r="C31" s="26"/>
      <c r="D31" s="26" t="s">
        <v>19</v>
      </c>
      <c r="E31" s="26" t="s">
        <v>104</v>
      </c>
      <c r="F31" s="27"/>
      <c r="G31" s="18"/>
    </row>
    <row r="32" ht="18.000000" customHeight="1"/>
    <row r="33" spans="1:7" ht="18.000000" customHeight="1">
      <c r="A33" s="28" t="s">
        <v>105</v>
      </c>
      <c r="B33" s="4" t="s">
        <v>1</v>
      </c>
      <c r="C33" s="4"/>
      <c r="D33" s="4" t="s">
        <v>2</v>
      </c>
      <c r="E33" s="4" t="s">
        <v>3</v>
      </c>
      <c r="F33" s="5" t="s">
        <v>4</v>
      </c>
      <c r="G33" s="6"/>
    </row>
    <row r="34" spans="1:7" ht="17.250000" customHeight="1">
      <c r="A34" s="19" t="s">
        <v>106</v>
      </c>
      <c r="B34" s="20" t="s">
        <v>107</v>
      </c>
      <c r="C34" s="20"/>
      <c r="D34" s="20" t="s">
        <v>19</v>
      </c>
      <c r="E34" s="20" t="s">
        <v>108</v>
      </c>
      <c r="F34" s="21"/>
      <c r="G34" s="10" t="s">
        <v>16</v>
      </c>
    </row>
    <row r="35" spans="1:7" ht="18.000000" customHeight="1">
      <c r="A35" s="25"/>
      <c r="B35" s="26" t="s">
        <v>109</v>
      </c>
      <c r="C35" s="26"/>
      <c r="D35" s="26" t="s">
        <v>19</v>
      </c>
      <c r="E35" s="26" t="s">
        <v>110</v>
      </c>
      <c r="F35" s="27"/>
      <c r="G35" s="18" t="s">
        <v>5</v>
      </c>
    </row>
  </sheetData>
  <mergeCells count="5">
    <mergeCell ref="F1:G1"/>
    <mergeCell ref="B2:C2"/>
    <mergeCell ref="D9:D10"/>
    <mergeCell ref="B22:C22"/>
    <mergeCell ref="B33:C33"/>
  </mergeCells>
  <phoneticPr fontId="1" type="noConversion"/>
  <printOptions verticalCentered="1"/>
  <pageMargins left="0.25" right="0.25" top="0.75" bottom="0.75" header="0.51" footer="0.51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0"/>
  <sheetViews>
    <sheetView showZeros="0" tabSelected="1" view="normal" zoomScale="85" zoomScaleNormal="85" zoomScaleSheetLayoutView="60" workbookViewId="0">
      <selection activeCell="A9" sqref="A9:E9"/>
    </sheetView>
  </sheetViews>
  <sheetFormatPr defaultColWidth="9.01171875" defaultRowHeight="16.500000"/>
  <cols>
    <col min="1" max="1" style="29" width="25.37999916" customWidth="1" outlineLevel="0"/>
    <col min="2" max="2" style="29" width="19.75499916" customWidth="1" outlineLevel="0"/>
    <col min="3" max="3" style="30" width="9.75500011" customWidth="1" outlineLevel="0"/>
    <col min="4" max="4" style="29" width="11.13000011" customWidth="1" outlineLevel="0"/>
    <col min="5" max="5" style="30" width="52.75500107" customWidth="1" outlineLevel="0"/>
    <col min="6" max="6" style="31" width="66.00499725" customWidth="1" outlineLevel="0"/>
    <col min="7" max="7" style="31" width="35.13000107" customWidth="1" outlineLevel="0"/>
    <col min="8" max="8" style="31" width="9.00500011" customWidth="1" outlineLevel="0"/>
    <col min="9" max="9" style="31" width="50.38000107" customWidth="1" outlineLevel="0"/>
    <col min="10" max="10" style="31" width="9.00500011" customWidth="1" outlineLevel="0"/>
  </cols>
  <sheetData>
    <row r="1" spans="1:6" ht="16.500000" customHeight="1">
      <c r="A1" s="47" t="s">
        <v>111</v>
      </c>
      <c r="B1" s="47"/>
      <c r="C1" s="47"/>
      <c r="D1" s="47"/>
      <c r="E1" s="47"/>
    </row>
    <row r="2" spans="1:6" ht="16.500000" customHeight="1">
      <c r="A2" s="47" t="s">
        <v>112</v>
      </c>
      <c r="B2" s="47"/>
      <c r="C2" s="47"/>
      <c r="D2" s="47"/>
      <c r="E2" s="47"/>
    </row>
    <row r="3" spans="1:6" ht="16.500000" customHeight="1">
      <c r="A3" s="48" t="s">
        <v>113</v>
      </c>
      <c r="B3" s="48"/>
      <c r="C3" s="48"/>
      <c r="D3" s="48"/>
      <c r="E3" s="48"/>
    </row>
    <row r="4" spans="1:6" ht="19.500000" customHeight="1">
      <c r="A4" s="48" t="s">
        <v>114</v>
      </c>
      <c r="B4" s="48"/>
      <c r="C4" s="48"/>
      <c r="D4" s="48"/>
      <c r="E4" s="48"/>
    </row>
    <row r="5" spans="1:6" ht="19.500000" customHeight="1">
      <c r="A5" s="48" t="s">
        <v>115</v>
      </c>
      <c r="B5" s="48"/>
      <c r="C5" s="48"/>
      <c r="D5" s="48"/>
      <c r="E5" s="48"/>
    </row>
    <row r="6" spans="1:6" ht="19.500000" customHeight="1">
      <c r="A6" s="48" t="s">
        <v>116</v>
      </c>
      <c r="B6" s="48"/>
      <c r="C6" s="48"/>
      <c r="D6" s="48"/>
      <c r="E6" s="48"/>
    </row>
    <row r="7" spans="1:6" ht="19.500000" customHeight="1">
      <c r="A7" s="48" t="s">
        <v>117</v>
      </c>
      <c r="B7" s="48"/>
      <c r="C7" s="48"/>
      <c r="D7" s="48"/>
      <c r="E7" s="48"/>
    </row>
    <row r="8" spans="1:6" ht="19.500000" customHeight="1">
      <c r="A8" s="48" t="s">
        <v>118</v>
      </c>
      <c r="B8" s="48"/>
      <c r="C8" s="48"/>
      <c r="D8" s="48"/>
      <c r="E8" s="48"/>
    </row>
    <row r="9" spans="1:6" ht="19.500000" customHeight="1">
      <c r="A9" s="48" t="s">
        <v>119</v>
      </c>
      <c r="B9" s="48"/>
      <c r="C9" s="48"/>
      <c r="D9" s="48"/>
      <c r="E9" s="48"/>
    </row>
    <row r="10" spans="1:6" ht="19.500000" customHeight="1">
      <c r="A10" s="30" t="s">
        <v>120</v>
      </c>
    </row>
    <row r="11" spans="1:6" ht="19.500000" customHeight="1">
      <c r="A11" s="34" t="s">
        <v>121</v>
      </c>
      <c r="B11" s="34" t="s">
        <v>122</v>
      </c>
      <c r="C11" s="34" t="s">
        <v>123</v>
      </c>
      <c r="D11" s="34" t="s">
        <v>124</v>
      </c>
      <c r="E11" s="35" t="s">
        <v>125</v>
      </c>
      <c r="F11" s="34" t="s">
        <v>4</v>
      </c>
    </row>
    <row r="12" spans="1:6" ht="19.500000" customHeight="1">
      <c r="A12" s="36">
        <v>0</v>
      </c>
      <c r="B12" s="36" t="s">
        <v>126</v>
      </c>
      <c r="C12" s="37" t="s">
        <v>127</v>
      </c>
      <c r="D12" s="37" t="s">
        <v>128</v>
      </c>
      <c r="E12" s="38" t="s">
        <v>129</v>
      </c>
      <c r="F12" s="39" t="s">
        <v>130</v>
      </c>
    </row>
    <row r="13" spans="1:6" s="30" customFormat="1" ht="19.500000" customHeight="1">
      <c r="A13" s="36">
        <v>1</v>
      </c>
      <c r="B13" s="36" t="s">
        <v>131</v>
      </c>
      <c r="C13" s="36" t="s">
        <v>127</v>
      </c>
      <c r="D13" s="36">
        <v>0</v>
      </c>
      <c r="E13" s="38" t="s">
        <v>132</v>
      </c>
      <c r="F13" s="40" t="s">
        <v>133</v>
      </c>
    </row>
    <row r="14" spans="1:6" s="30" customFormat="1" ht="49.500000" customHeight="1">
      <c r="A14" s="36"/>
      <c r="B14" s="36" t="s">
        <v>134</v>
      </c>
      <c r="C14" s="36" t="s">
        <v>127</v>
      </c>
      <c r="D14" s="36">
        <v>1</v>
      </c>
      <c r="E14" s="38" t="s">
        <v>135</v>
      </c>
      <c r="F14" s="40" t="s">
        <v>136</v>
      </c>
    </row>
    <row r="15" spans="1:6" s="30" customFormat="1" ht="19.500000" customHeight="1">
      <c r="A15" s="36"/>
      <c r="B15" s="36" t="s">
        <v>137</v>
      </c>
      <c r="C15" s="36" t="s">
        <v>127</v>
      </c>
      <c r="D15" s="36">
        <v>2</v>
      </c>
      <c r="E15" s="38"/>
      <c r="F15" s="40"/>
    </row>
    <row r="16" spans="1:6" s="30" customFormat="1" ht="19.500000" customHeight="1">
      <c r="A16" s="36"/>
      <c r="B16" s="36" t="s">
        <v>138</v>
      </c>
      <c r="C16" s="36" t="s">
        <v>127</v>
      </c>
      <c r="D16" s="36">
        <v>3</v>
      </c>
      <c r="E16" s="38"/>
      <c r="F16" s="40"/>
    </row>
    <row r="17" spans="1:8" s="30" customFormat="1" ht="19.500000" customHeight="1">
      <c r="A17" s="36"/>
      <c r="B17" s="36" t="s">
        <v>139</v>
      </c>
      <c r="C17" s="36" t="s">
        <v>127</v>
      </c>
      <c r="D17" s="36">
        <v>4</v>
      </c>
      <c r="E17" s="38"/>
      <c r="F17" s="40"/>
    </row>
    <row r="18" spans="1:8" s="30" customFormat="1" ht="19.500000" customHeight="1">
      <c r="A18" s="36"/>
      <c r="B18" s="36" t="s">
        <v>140</v>
      </c>
      <c r="C18" s="36" t="s">
        <v>127</v>
      </c>
      <c r="D18" s="36">
        <v>5</v>
      </c>
      <c r="E18" s="38"/>
      <c r="F18" s="40"/>
    </row>
    <row r="19" spans="1:8" s="30" customFormat="1" ht="19.500000" customHeight="1">
      <c r="A19" s="36"/>
      <c r="B19" s="36" t="s">
        <v>141</v>
      </c>
      <c r="C19" s="36" t="s">
        <v>127</v>
      </c>
      <c r="D19" s="36">
        <v>6</v>
      </c>
      <c r="E19" s="38"/>
      <c r="F19" s="40"/>
      <c r="H19" s="30">
        <v>5</v>
      </c>
    </row>
    <row r="20" spans="1:8" s="30" customFormat="1" ht="19.500000" customHeight="1">
      <c r="A20" s="36"/>
      <c r="B20" s="36" t="s">
        <v>142</v>
      </c>
      <c r="C20" s="36" t="s">
        <v>127</v>
      </c>
      <c r="D20" s="36">
        <v>7</v>
      </c>
      <c r="E20" s="38"/>
      <c r="F20" s="40"/>
      <c r="H20" s="30">
        <v>3.9</v>
      </c>
    </row>
    <row r="21" spans="1:8" s="30" customFormat="1" ht="19.500000" customHeight="1">
      <c r="A21" s="36"/>
      <c r="B21" s="36" t="s">
        <v>143</v>
      </c>
      <c r="C21" s="36" t="s">
        <v>127</v>
      </c>
      <c r="D21" s="36">
        <v>8</v>
      </c>
      <c r="E21" s="38"/>
      <c r="F21" s="40"/>
      <c r="H21" s="30">
        <v>1.2</v>
      </c>
    </row>
    <row r="22" spans="1:8" s="30" customFormat="1" ht="19.500000" customHeight="1">
      <c r="A22" s="36"/>
      <c r="B22" s="36" t="s">
        <v>144</v>
      </c>
      <c r="C22" s="36" t="s">
        <v>127</v>
      </c>
      <c r="D22" s="36">
        <v>9</v>
      </c>
      <c r="E22" s="38"/>
      <c r="F22" s="40"/>
    </row>
    <row r="23" spans="1:8" s="30" customFormat="1" ht="19.500000" customHeight="1">
      <c r="A23" s="36"/>
      <c r="B23" s="36" t="s">
        <v>145</v>
      </c>
      <c r="C23" s="36" t="s">
        <v>127</v>
      </c>
      <c r="D23" s="36">
        <v>10</v>
      </c>
      <c r="E23" s="38"/>
      <c r="F23" s="40"/>
      <c r="H23" s="30">
        <f>H21/(5.9)</f>
        <v>0.203389830508475</v>
      </c>
    </row>
    <row r="24" spans="1:8" s="30" customFormat="1" ht="19.500000" customHeight="1">
      <c r="A24" s="36"/>
      <c r="B24" s="36" t="s">
        <v>146</v>
      </c>
      <c r="C24" s="36" t="s">
        <v>127</v>
      </c>
      <c r="D24" s="36">
        <v>11</v>
      </c>
      <c r="E24" s="38"/>
      <c r="F24" s="40"/>
      <c r="H24" s="30">
        <f>H23*H19</f>
        <v>1.01694915254237</v>
      </c>
    </row>
    <row r="25" spans="1:8" s="30" customFormat="1" ht="19.500000" customHeight="1">
      <c r="A25" s="36"/>
      <c r="B25" s="36" t="s">
        <v>147</v>
      </c>
      <c r="C25" s="36" t="s">
        <v>127</v>
      </c>
      <c r="D25" s="36">
        <v>12</v>
      </c>
      <c r="E25" s="38"/>
      <c r="F25" s="40"/>
    </row>
    <row r="26" spans="1:8" s="30" customFormat="1" ht="19.500000" customHeight="1">
      <c r="A26" s="36"/>
      <c r="B26" s="36" t="s">
        <v>148</v>
      </c>
      <c r="C26" s="36" t="s">
        <v>127</v>
      </c>
      <c r="D26" s="36">
        <v>13</v>
      </c>
      <c r="E26" s="38"/>
      <c r="F26" s="40"/>
    </row>
    <row r="27" spans="1:8" s="30" customFormat="1" ht="19.500000" customHeight="1">
      <c r="A27" s="36"/>
      <c r="B27" s="36" t="s">
        <v>149</v>
      </c>
      <c r="C27" s="36" t="s">
        <v>127</v>
      </c>
      <c r="D27" s="36">
        <v>14</v>
      </c>
      <c r="E27" s="38"/>
      <c r="F27" s="40"/>
    </row>
    <row r="28" spans="1:8" s="30" customFormat="1" ht="19.500000" customHeight="1">
      <c r="A28" s="36"/>
      <c r="B28" s="36" t="s">
        <v>150</v>
      </c>
      <c r="C28" s="36" t="s">
        <v>127</v>
      </c>
      <c r="D28" s="36">
        <v>15</v>
      </c>
      <c r="E28" s="38"/>
      <c r="F28" s="40"/>
    </row>
    <row r="29" spans="1:8" s="30" customFormat="1" ht="37.500000" customHeight="1">
      <c r="A29" s="36">
        <v>2</v>
      </c>
      <c r="B29" s="36" t="s">
        <v>151</v>
      </c>
      <c r="C29" s="36" t="s">
        <v>127</v>
      </c>
      <c r="D29" s="36" t="s">
        <v>152</v>
      </c>
      <c r="E29" s="38" t="s">
        <v>153</v>
      </c>
      <c r="F29" s="39" t="s">
        <v>154</v>
      </c>
    </row>
    <row r="30" spans="1:8" s="30" customFormat="1" ht="41.250000" customHeight="1">
      <c r="A30" s="36">
        <v>3</v>
      </c>
      <c r="B30" s="36" t="s">
        <v>155</v>
      </c>
      <c r="C30" s="36" t="s">
        <v>127</v>
      </c>
      <c r="D30" s="36" t="s">
        <v>152</v>
      </c>
      <c r="E30" s="38" t="s">
        <v>156</v>
      </c>
      <c r="F30" s="39" t="s">
        <v>157</v>
      </c>
    </row>
    <row r="31" spans="1:8" s="30" customFormat="1" ht="37.500000" customHeight="1">
      <c r="A31" s="36">
        <v>4</v>
      </c>
      <c r="B31" s="36" t="s">
        <v>158</v>
      </c>
      <c r="C31" s="36" t="s">
        <v>127</v>
      </c>
      <c r="D31" s="36" t="s">
        <v>152</v>
      </c>
      <c r="E31" s="38" t="s">
        <v>159</v>
      </c>
      <c r="F31" s="39" t="s">
        <v>160</v>
      </c>
    </row>
    <row r="32" spans="1:8" s="30" customFormat="1" ht="37.500000" customHeight="1">
      <c r="A32" s="36">
        <v>5</v>
      </c>
      <c r="B32" s="36" t="s">
        <v>161</v>
      </c>
      <c r="C32" s="36" t="s">
        <v>127</v>
      </c>
      <c r="D32" s="36" t="s">
        <v>152</v>
      </c>
      <c r="E32" s="38" t="s">
        <v>162</v>
      </c>
      <c r="F32" s="39" t="s">
        <v>163</v>
      </c>
    </row>
    <row r="33" spans="1:6" s="30" customFormat="1" ht="37.500000" customHeight="1">
      <c r="A33" s="36">
        <v>6</v>
      </c>
      <c r="B33" s="36" t="s">
        <v>164</v>
      </c>
      <c r="C33" s="36" t="s">
        <v>127</v>
      </c>
      <c r="D33" s="36" t="s">
        <v>152</v>
      </c>
      <c r="E33" s="38" t="s">
        <v>165</v>
      </c>
      <c r="F33" s="39" t="s">
        <v>166</v>
      </c>
    </row>
    <row r="34" spans="1:6" s="30" customFormat="1" ht="37.500000" customHeight="1">
      <c r="A34" s="36">
        <v>7</v>
      </c>
      <c r="B34" s="36" t="s">
        <v>167</v>
      </c>
      <c r="C34" s="36" t="s">
        <v>127</v>
      </c>
      <c r="D34" s="36" t="s">
        <v>152</v>
      </c>
      <c r="E34" s="38" t="s">
        <v>168</v>
      </c>
      <c r="F34" s="39" t="s">
        <v>157</v>
      </c>
    </row>
    <row r="35" spans="1:6" s="30" customFormat="1" ht="37.500000" customHeight="1">
      <c r="A35" s="36">
        <v>8</v>
      </c>
      <c r="B35" s="36" t="s">
        <v>169</v>
      </c>
      <c r="C35" s="36" t="s">
        <v>127</v>
      </c>
      <c r="D35" s="36" t="s">
        <v>152</v>
      </c>
      <c r="E35" s="38" t="s">
        <v>170</v>
      </c>
      <c r="F35" s="39" t="s">
        <v>171</v>
      </c>
    </row>
    <row r="36" spans="1:6" s="30" customFormat="1" ht="19.500000" customHeight="1">
      <c r="A36" s="36">
        <v>9</v>
      </c>
      <c r="B36" s="36" t="s">
        <v>172</v>
      </c>
      <c r="C36" s="36" t="s">
        <v>123</v>
      </c>
      <c r="D36" s="36">
        <v>0</v>
      </c>
      <c r="E36" s="38" t="s">
        <v>173</v>
      </c>
      <c r="F36" s="38" t="s">
        <v>174</v>
      </c>
    </row>
    <row r="37" spans="1:6" s="30" customFormat="1" ht="19.500000" customHeight="1">
      <c r="A37" s="36"/>
      <c r="B37" s="36"/>
      <c r="C37" s="36"/>
      <c r="D37" s="36">
        <v>1</v>
      </c>
      <c r="E37" s="38"/>
      <c r="F37" s="38"/>
    </row>
    <row r="38" spans="1:6" s="30" customFormat="1" ht="19.500000" customHeight="1">
      <c r="A38" s="36"/>
      <c r="B38" s="36"/>
      <c r="C38" s="36"/>
      <c r="D38" s="36">
        <v>2</v>
      </c>
      <c r="E38" s="38"/>
      <c r="F38" s="38"/>
    </row>
    <row r="39" spans="1:6" s="30" customFormat="1" ht="19.500000" customHeight="1">
      <c r="A39" s="36"/>
      <c r="B39" s="36"/>
      <c r="C39" s="36"/>
      <c r="D39" s="36">
        <v>3</v>
      </c>
      <c r="E39" s="38"/>
      <c r="F39" s="38"/>
    </row>
    <row r="40" spans="1:6" s="30" customFormat="1" ht="19.500000" customHeight="1">
      <c r="A40" s="36"/>
      <c r="B40" s="36"/>
      <c r="C40" s="36"/>
      <c r="D40" s="36">
        <v>4</v>
      </c>
      <c r="E40" s="38"/>
      <c r="F40" s="38"/>
    </row>
    <row r="41" spans="1:6" s="30" customFormat="1" ht="19.500000" customHeight="1">
      <c r="A41" s="36"/>
      <c r="B41" s="36"/>
      <c r="C41" s="36"/>
      <c r="D41" s="36">
        <v>5</v>
      </c>
      <c r="E41" s="38"/>
      <c r="F41" s="38"/>
    </row>
    <row r="42" spans="1:6" s="30" customFormat="1" ht="19.500000" customHeight="1">
      <c r="A42" s="36"/>
      <c r="B42" s="36"/>
      <c r="C42" s="36"/>
      <c r="D42" s="36">
        <v>6</v>
      </c>
      <c r="E42" s="38"/>
      <c r="F42" s="38"/>
    </row>
    <row r="43" spans="1:6" s="30" customFormat="1" ht="19.500000" customHeight="1">
      <c r="A43" s="36"/>
      <c r="B43" s="36"/>
      <c r="C43" s="36"/>
      <c r="D43" s="36">
        <v>7</v>
      </c>
      <c r="E43" s="38"/>
      <c r="F43" s="38"/>
    </row>
    <row r="44" spans="1:6" s="30" customFormat="1" ht="19.500000" customHeight="1">
      <c r="A44" s="36"/>
      <c r="B44" s="36"/>
      <c r="C44" s="36"/>
      <c r="D44" s="36">
        <v>8</v>
      </c>
      <c r="E44" s="38"/>
      <c r="F44" s="38"/>
    </row>
    <row r="45" spans="1:6" s="30" customFormat="1" ht="19.500000" customHeight="1">
      <c r="A45" s="36"/>
      <c r="B45" s="36"/>
      <c r="C45" s="36"/>
      <c r="D45" s="36">
        <v>9</v>
      </c>
      <c r="E45" s="38"/>
      <c r="F45" s="38"/>
    </row>
    <row r="46" spans="1:6" s="30" customFormat="1" ht="19.500000" customHeight="1">
      <c r="A46" s="36"/>
      <c r="B46" s="36"/>
      <c r="C46" s="36"/>
      <c r="D46" s="36">
        <v>10</v>
      </c>
      <c r="E46" s="38"/>
      <c r="F46" s="38"/>
    </row>
    <row r="47" spans="1:6" s="30" customFormat="1" ht="19.500000" customHeight="1">
      <c r="A47" s="36"/>
      <c r="B47" s="36"/>
      <c r="C47" s="36"/>
      <c r="D47" s="36">
        <v>11</v>
      </c>
      <c r="E47" s="38"/>
      <c r="F47" s="38"/>
    </row>
    <row r="48" spans="1:6" s="30" customFormat="1" ht="19.500000" customHeight="1">
      <c r="A48" s="36"/>
      <c r="B48" s="36"/>
      <c r="C48" s="36"/>
      <c r="D48" s="36">
        <v>12</v>
      </c>
      <c r="E48" s="38"/>
      <c r="F48" s="38"/>
    </row>
    <row r="49" spans="1:8" s="30" customFormat="1" ht="19.500000" customHeight="1">
      <c r="A49" s="36"/>
      <c r="B49" s="36"/>
      <c r="C49" s="36"/>
      <c r="D49" s="36">
        <v>13</v>
      </c>
      <c r="E49" s="38"/>
      <c r="F49" s="38"/>
    </row>
    <row r="50" spans="1:8" s="30" customFormat="1" ht="19.500000" customHeight="1">
      <c r="A50" s="36"/>
      <c r="B50" s="36" t="s">
        <v>175</v>
      </c>
      <c r="C50" s="36" t="s">
        <v>123</v>
      </c>
      <c r="D50" s="36">
        <v>14</v>
      </c>
      <c r="E50" s="38"/>
      <c r="F50" s="40"/>
    </row>
    <row r="51" spans="1:8" s="30" customFormat="1" ht="19.500000" customHeight="1">
      <c r="A51" s="36"/>
      <c r="B51" s="36" t="s">
        <v>175</v>
      </c>
      <c r="C51" s="36" t="s">
        <v>123</v>
      </c>
      <c r="D51" s="36">
        <v>15</v>
      </c>
      <c r="E51" s="38"/>
      <c r="F51" s="40"/>
    </row>
    <row r="52" spans="1:8" s="30" customFormat="1" ht="19.500000" customHeight="1">
      <c r="A52" s="36">
        <v>10</v>
      </c>
      <c r="B52" s="36" t="s">
        <v>176</v>
      </c>
      <c r="C52" s="36" t="s">
        <v>123</v>
      </c>
      <c r="D52" s="36">
        <v>0</v>
      </c>
      <c r="E52" s="38" t="s">
        <v>177</v>
      </c>
      <c r="F52" s="40" t="s">
        <v>178</v>
      </c>
      <c r="H52" s="30">
        <v>33</v>
      </c>
    </row>
    <row r="53" spans="1:8" s="30" customFormat="1" ht="42.750000" customHeight="1">
      <c r="A53" s="36"/>
      <c r="B53" s="36" t="s">
        <v>179</v>
      </c>
      <c r="C53" s="36" t="s">
        <v>123</v>
      </c>
      <c r="D53" s="36">
        <v>1</v>
      </c>
      <c r="E53" s="38" t="s">
        <v>180</v>
      </c>
      <c r="F53" s="40" t="s">
        <v>181</v>
      </c>
      <c r="H53" s="30">
        <v>3</v>
      </c>
    </row>
    <row r="54" spans="1:8" s="30" customFormat="1" ht="19.500000" customHeight="1">
      <c r="A54" s="36"/>
      <c r="B54" s="36" t="s">
        <v>182</v>
      </c>
      <c r="C54" s="36" t="s">
        <v>123</v>
      </c>
      <c r="D54" s="36">
        <v>2</v>
      </c>
      <c r="E54" s="38" t="s">
        <v>183</v>
      </c>
      <c r="F54" s="40"/>
    </row>
    <row r="55" spans="1:8" s="30" customFormat="1" ht="19.500000" customHeight="1">
      <c r="A55" s="36"/>
      <c r="B55" s="36" t="s">
        <v>184</v>
      </c>
      <c r="C55" s="36" t="s">
        <v>123</v>
      </c>
      <c r="D55" s="36">
        <v>3</v>
      </c>
      <c r="E55" s="38" t="s">
        <v>185</v>
      </c>
      <c r="F55" s="40"/>
      <c r="H55" s="30">
        <f>H53/(H52+H53)</f>
        <v>0.0833333333333333</v>
      </c>
    </row>
    <row r="56" spans="1:8" s="30" customFormat="1" ht="19.500000" customHeight="1">
      <c r="A56" s="36"/>
      <c r="B56" s="36" t="s">
        <v>186</v>
      </c>
      <c r="C56" s="36" t="s">
        <v>123</v>
      </c>
      <c r="D56" s="36">
        <v>4</v>
      </c>
      <c r="E56" s="38" t="s">
        <v>187</v>
      </c>
      <c r="F56" s="40"/>
      <c r="H56" s="30">
        <f>5/H55</f>
        <v>60</v>
      </c>
    </row>
    <row r="57" spans="1:8" s="30" customFormat="1" ht="19.500000" customHeight="1">
      <c r="A57" s="36"/>
      <c r="B57" s="36" t="s">
        <v>188</v>
      </c>
      <c r="C57" s="36" t="s">
        <v>123</v>
      </c>
      <c r="D57" s="36">
        <v>5</v>
      </c>
      <c r="E57" s="38" t="s">
        <v>189</v>
      </c>
      <c r="F57" s="40"/>
    </row>
    <row r="58" spans="1:8" s="30" customFormat="1" ht="19.500000" customHeight="1">
      <c r="A58" s="36"/>
      <c r="B58" s="36" t="s">
        <v>190</v>
      </c>
      <c r="C58" s="36" t="s">
        <v>123</v>
      </c>
      <c r="D58" s="36">
        <v>6</v>
      </c>
      <c r="E58" s="38" t="s">
        <v>191</v>
      </c>
      <c r="F58" s="40"/>
    </row>
    <row r="59" spans="1:8" s="30" customFormat="1" ht="19.500000" customHeight="1">
      <c r="A59" s="36"/>
      <c r="B59" s="36" t="s">
        <v>192</v>
      </c>
      <c r="C59" s="36" t="s">
        <v>123</v>
      </c>
      <c r="D59" s="36">
        <v>7</v>
      </c>
      <c r="E59" s="38" t="s">
        <v>193</v>
      </c>
      <c r="F59" s="40"/>
    </row>
    <row r="60" spans="1:8" s="30" customFormat="1" ht="49.500000" customHeight="1">
      <c r="A60" s="36"/>
      <c r="B60" s="41" t="s">
        <v>194</v>
      </c>
      <c r="C60" s="41" t="s">
        <v>123</v>
      </c>
      <c r="D60" s="41">
        <v>8</v>
      </c>
      <c r="E60" s="42" t="s">
        <v>195</v>
      </c>
      <c r="F60" s="43" t="s">
        <v>196</v>
      </c>
    </row>
    <row r="61" spans="1:8" s="30" customFormat="1" ht="49.500000" customHeight="1">
      <c r="A61" s="36"/>
      <c r="B61" s="44" t="s">
        <v>197</v>
      </c>
      <c r="C61" s="44" t="s">
        <v>123</v>
      </c>
      <c r="D61" s="44">
        <v>9</v>
      </c>
      <c r="E61" s="45" t="s">
        <v>198</v>
      </c>
      <c r="F61" s="46" t="s">
        <v>199</v>
      </c>
    </row>
    <row r="62" spans="1:8" s="30" customFormat="1" ht="49.500000" customHeight="1">
      <c r="A62" s="36"/>
      <c r="B62" s="44" t="s">
        <v>200</v>
      </c>
      <c r="C62" s="44" t="s">
        <v>123</v>
      </c>
      <c r="D62" s="44">
        <v>10</v>
      </c>
      <c r="E62" s="45" t="s">
        <v>201</v>
      </c>
      <c r="F62" s="46" t="s">
        <v>202</v>
      </c>
    </row>
    <row r="63" spans="1:8" s="30" customFormat="1" ht="49.500000" customHeight="1">
      <c r="A63" s="36"/>
      <c r="B63" s="41" t="s">
        <v>203</v>
      </c>
      <c r="C63" s="41" t="s">
        <v>123</v>
      </c>
      <c r="D63" s="41">
        <v>11</v>
      </c>
      <c r="E63" s="42" t="s">
        <v>204</v>
      </c>
      <c r="F63" s="43" t="s">
        <v>205</v>
      </c>
    </row>
    <row r="64" spans="1:8" s="30" customFormat="1" ht="49.500000" customHeight="1">
      <c r="A64" s="36"/>
      <c r="B64" s="41" t="s">
        <v>206</v>
      </c>
      <c r="C64" s="41" t="s">
        <v>123</v>
      </c>
      <c r="D64" s="41">
        <v>12</v>
      </c>
      <c r="E64" s="42" t="s">
        <v>207</v>
      </c>
      <c r="F64" s="43" t="s">
        <v>205</v>
      </c>
    </row>
    <row r="65" spans="1:6" s="30" customFormat="1" ht="19.500000" customHeight="1">
      <c r="A65" s="36"/>
      <c r="B65" s="36" t="s">
        <v>175</v>
      </c>
      <c r="C65" s="36" t="s">
        <v>123</v>
      </c>
      <c r="D65" s="36">
        <v>13</v>
      </c>
      <c r="E65" s="38"/>
      <c r="F65" s="40"/>
    </row>
    <row r="66" spans="1:6" s="30" customFormat="1" ht="19.500000" customHeight="1">
      <c r="A66" s="36"/>
      <c r="B66" s="36" t="s">
        <v>175</v>
      </c>
      <c r="C66" s="36" t="s">
        <v>123</v>
      </c>
      <c r="D66" s="36">
        <v>14</v>
      </c>
      <c r="E66" s="38"/>
      <c r="F66" s="40"/>
    </row>
    <row r="67" spans="1:6" s="30" customFormat="1" ht="19.500000" customHeight="1">
      <c r="A67" s="36"/>
      <c r="B67" s="36" t="s">
        <v>175</v>
      </c>
      <c r="C67" s="36" t="s">
        <v>123</v>
      </c>
      <c r="D67" s="36">
        <v>15</v>
      </c>
      <c r="E67" s="38"/>
      <c r="F67" s="40"/>
    </row>
    <row r="68" spans="1:6" ht="30.750000" customHeight="1">
      <c r="A68" s="36" t="s">
        <v>208</v>
      </c>
      <c r="B68" s="36" t="s">
        <v>209</v>
      </c>
      <c r="C68" s="36" t="s">
        <v>127</v>
      </c>
      <c r="D68" s="36">
        <v>80</v>
      </c>
      <c r="E68" s="38"/>
      <c r="F68" s="39" t="s">
        <v>210</v>
      </c>
    </row>
    <row r="69" ht="19.500000" customHeight="1"/>
    <row r="70" ht="19.500000" customHeight="1"/>
    <row r="71" ht="19.500000" customHeight="1"/>
    <row r="72" ht="19.500000" customHeight="1"/>
    <row r="73" ht="19.500000" customHeight="1"/>
    <row r="74" ht="19.500000" customHeight="1"/>
    <row r="75" ht="19.500000" customHeight="1"/>
    <row r="76" ht="19.500000" customHeight="1"/>
    <row r="77" ht="19.500000" customHeight="1"/>
    <row r="78" ht="19.500000" customHeight="1"/>
    <row r="79" ht="19.500000" customHeight="1"/>
    <row r="80" ht="19.500000" customHeight="1"/>
    <row r="81" ht="19.500000" customHeight="1"/>
    <row r="82" ht="19.500000" customHeight="1"/>
    <row r="83" ht="19.500000" customHeight="1"/>
    <row r="84" ht="19.500000" customHeight="1"/>
    <row r="85" ht="19.500000" customHeight="1"/>
    <row r="86" ht="19.500000" customHeight="1"/>
    <row r="87" ht="19.500000" customHeight="1"/>
    <row r="88" ht="19.500000" customHeight="1"/>
    <row r="89" ht="19.500000" customHeight="1"/>
    <row r="90" ht="19.500000" customHeight="1"/>
    <row r="91" ht="19.500000" customHeight="1"/>
    <row r="92" ht="19.500000" customHeight="1"/>
    <row r="93" ht="19.500000" customHeight="1"/>
    <row r="94" ht="19.500000" customHeight="1"/>
    <row r="95" ht="19.500000" customHeight="1"/>
    <row r="96" ht="19.500000" customHeight="1"/>
    <row r="97" ht="19.500000" customHeight="1"/>
    <row r="98" ht="19.500000" customHeight="1"/>
    <row r="99" ht="19.500000" customHeight="1"/>
    <row r="100" ht="19.500000" customHeight="1"/>
    <row r="101" ht="19.500000" customHeight="1"/>
    <row r="102" ht="19.500000" customHeight="1"/>
    <row r="103" ht="19.500000" customHeight="1"/>
    <row r="104" ht="19.500000" customHeight="1"/>
    <row r="105" ht="19.500000" customHeight="1"/>
    <row r="106" ht="19.500000" customHeight="1"/>
    <row r="107" ht="19.500000" customHeight="1"/>
    <row r="108" ht="19.500000" customHeight="1"/>
    <row r="109" ht="19.500000" customHeight="1"/>
    <row r="110" ht="19.500000" customHeight="1"/>
    <row r="111" ht="19.500000" customHeight="1"/>
    <row r="112" ht="19.500000" customHeight="1"/>
    <row r="113" ht="19.500000" customHeight="1"/>
    <row r="114" ht="19.500000" customHeight="1"/>
    <row r="115" ht="19.500000" customHeight="1"/>
    <row r="116" ht="19.500000" customHeight="1"/>
    <row r="117" ht="19.500000" customHeight="1"/>
    <row r="118" ht="19.500000" customHeight="1"/>
    <row r="119" ht="19.500000" customHeight="1"/>
    <row r="120" ht="19.500000" customHeight="1"/>
    <row r="121" ht="19.500000" customHeight="1"/>
    <row r="122" ht="19.500000" customHeight="1"/>
    <row r="123" ht="19.500000" customHeight="1"/>
    <row r="124" ht="19.500000" customHeight="1"/>
    <row r="125" ht="19.500000" customHeight="1"/>
    <row r="126" ht="19.500000" customHeight="1"/>
    <row r="127" ht="19.500000" customHeight="1"/>
    <row r="128" ht="19.500000" customHeight="1"/>
    <row r="129" ht="19.500000" customHeight="1"/>
    <row r="130" ht="19.500000" customHeight="1"/>
    <row r="131" ht="19.500000" customHeight="1"/>
    <row r="132" ht="19.500000" customHeight="1"/>
    <row r="133" ht="19.500000" customHeight="1"/>
    <row r="134" ht="19.500000" customHeight="1"/>
    <row r="135" ht="19.500000" customHeight="1"/>
    <row r="136" ht="19.500000" customHeight="1"/>
    <row r="137" ht="19.500000" customHeight="1"/>
    <row r="138" ht="19.500000" customHeight="1"/>
    <row r="139" ht="19.500000" customHeight="1"/>
    <row r="140" ht="19.500000" customHeight="1"/>
    <row r="141" ht="19.500000" customHeight="1"/>
    <row r="142" ht="19.500000" customHeight="1"/>
    <row r="143" ht="19.500000" customHeight="1"/>
    <row r="144" ht="19.500000" customHeight="1"/>
    <row r="145" ht="19.500000" customHeight="1"/>
    <row r="146" ht="19.500000" customHeight="1"/>
    <row r="147" ht="19.500000" customHeight="1"/>
    <row r="148" ht="19.500000" customHeight="1"/>
    <row r="149" ht="19.500000" customHeight="1"/>
    <row r="150" ht="19.500000" customHeight="1"/>
    <row r="151" ht="19.500000" customHeight="1"/>
    <row r="152" ht="19.500000" customHeight="1"/>
    <row r="153" ht="19.500000" customHeight="1"/>
    <row r="154" ht="19.500000" customHeight="1"/>
    <row r="155" ht="19.500000" customHeight="1"/>
    <row r="156" ht="19.500000" customHeight="1"/>
    <row r="157" ht="19.500000" customHeight="1"/>
    <row r="158" ht="19.500000" customHeight="1"/>
    <row r="159" ht="19.500000" customHeight="1"/>
    <row r="160" ht="19.500000" customHeight="1"/>
    <row r="161" ht="19.500000" customHeight="1"/>
    <row r="162" ht="19.500000" customHeight="1"/>
    <row r="163" ht="19.500000" customHeight="1"/>
    <row r="164" ht="19.500000" customHeight="1"/>
    <row r="165" ht="19.500000" customHeight="1"/>
    <row r="166" ht="19.500000" customHeight="1"/>
    <row r="167" ht="19.500000" customHeight="1"/>
    <row r="168" ht="19.500000" customHeight="1"/>
    <row r="169" ht="19.500000" customHeight="1"/>
    <row r="170" ht="19.500000" customHeight="1"/>
    <row r="171" ht="19.500000" customHeight="1"/>
    <row r="172" ht="19.500000" customHeight="1"/>
    <row r="173" ht="19.500000" customHeight="1"/>
    <row r="174" ht="19.500000" customHeight="1"/>
    <row r="175" ht="19.500000" customHeight="1"/>
    <row r="176" ht="19.500000" customHeight="1"/>
    <row r="177" ht="19.500000" customHeight="1"/>
    <row r="178" ht="19.500000" customHeight="1"/>
    <row r="179" ht="19.500000" customHeight="1"/>
    <row r="180" ht="19.500000" customHeight="1"/>
    <row r="181" ht="19.500000" customHeight="1"/>
    <row r="182" ht="19.500000" customHeight="1"/>
    <row r="183" ht="19.500000" customHeight="1"/>
    <row r="184" ht="19.500000" customHeight="1"/>
    <row r="185" ht="19.500000" customHeight="1"/>
    <row r="186" ht="19.500000" customHeight="1"/>
    <row r="187" ht="19.500000" customHeight="1"/>
    <row r="188" ht="19.500000" customHeight="1"/>
    <row r="189" ht="19.500000" customHeight="1"/>
    <row r="190" ht="19.500000" customHeight="1"/>
    <row r="191" ht="19.500000" customHeight="1"/>
    <row r="192" ht="19.500000" customHeight="1"/>
    <row r="193" ht="19.500000" customHeight="1"/>
    <row r="194" ht="19.500000" customHeight="1"/>
    <row r="195" ht="19.500000" customHeight="1"/>
    <row r="196" ht="19.500000" customHeight="1"/>
    <row r="197" ht="19.500000" customHeight="1"/>
    <row r="198" ht="19.500000" customHeight="1"/>
    <row r="199" ht="19.500000" customHeight="1"/>
    <row r="200" ht="19.500000" customHeight="1"/>
    <row r="201" ht="19.500000" customHeight="1"/>
    <row r="202" ht="19.500000" customHeight="1"/>
    <row r="203" ht="19.500000" customHeight="1"/>
    <row r="204" ht="19.500000" customHeight="1"/>
    <row r="205" ht="19.500000" customHeight="1"/>
    <row r="206" ht="19.500000" customHeight="1"/>
    <row r="207" ht="19.500000" customHeight="1"/>
    <row r="208" ht="19.500000" customHeight="1"/>
    <row r="209" ht="19.500000" customHeight="1"/>
    <row r="210" ht="19.500000" customHeight="1"/>
    <row r="211" ht="19.500000" customHeight="1"/>
    <row r="212" ht="19.500000" customHeight="1"/>
    <row r="213" ht="19.500000" customHeight="1"/>
    <row r="214" ht="19.500000" customHeight="1"/>
    <row r="215" ht="19.500000" customHeight="1"/>
    <row r="216" ht="19.500000" customHeight="1"/>
    <row r="217" ht="19.500000" customHeight="1"/>
    <row r="218" ht="19.500000" customHeight="1"/>
    <row r="219" ht="19.500000" customHeight="1"/>
    <row r="220" ht="19.500000" customHeight="1"/>
    <row r="221" ht="19.500000" customHeight="1"/>
    <row r="222" ht="19.500000" customHeight="1"/>
    <row r="223" ht="19.500000" customHeight="1"/>
    <row r="224" ht="19.500000" customHeight="1"/>
    <row r="225" ht="19.500000" customHeight="1"/>
    <row r="226" ht="19.500000" customHeight="1"/>
    <row r="227" ht="19.500000" customHeight="1"/>
    <row r="228" ht="19.500000" customHeight="1"/>
    <row r="229" ht="19.500000" customHeight="1"/>
    <row r="230" ht="19.500000" customHeight="1"/>
    <row r="231" ht="19.500000" customHeight="1"/>
    <row r="232" ht="19.500000" customHeight="1"/>
    <row r="233" ht="19.500000" customHeight="1"/>
    <row r="234" ht="19.500000" customHeight="1"/>
    <row r="235" ht="19.500000" customHeight="1"/>
    <row r="236" ht="19.500000" customHeight="1"/>
    <row r="237" ht="19.500000" customHeight="1"/>
    <row r="238" ht="19.500000" customHeight="1"/>
    <row r="239" ht="19.500000" customHeight="1"/>
    <row r="240" ht="19.500000" customHeight="1"/>
    <row r="241" ht="19.500000" customHeight="1"/>
    <row r="242" ht="19.500000" customHeight="1"/>
    <row r="243" ht="19.500000" customHeight="1"/>
    <row r="244" ht="19.500000" customHeight="1"/>
    <row r="245" ht="19.500000" customHeight="1"/>
    <row r="246" ht="19.500000" customHeight="1"/>
    <row r="247" ht="19.500000" customHeight="1"/>
    <row r="248" ht="19.500000" customHeight="1"/>
    <row r="249" ht="19.500000" customHeight="1"/>
    <row r="250" ht="19.500000" customHeight="1"/>
    <row r="251" ht="19.500000" customHeight="1"/>
    <row r="252" ht="19.500000" customHeight="1"/>
    <row r="253" ht="19.500000" customHeight="1"/>
    <row r="254" ht="19.500000" customHeight="1"/>
    <row r="255" ht="19.500000" customHeight="1"/>
    <row r="256" ht="19.500000" customHeight="1"/>
    <row r="257" ht="19.500000" customHeight="1"/>
    <row r="258" ht="19.500000" customHeight="1"/>
    <row r="259" ht="19.500000" customHeight="1"/>
    <row r="260" ht="19.500000" customHeight="1"/>
    <row r="261" ht="19.500000" customHeight="1"/>
    <row r="262" ht="19.500000" customHeight="1"/>
    <row r="263" ht="19.500000" customHeight="1"/>
    <row r="264" ht="19.500000" customHeight="1"/>
    <row r="265" ht="19.500000" customHeight="1"/>
    <row r="266" ht="19.500000" customHeight="1"/>
    <row r="267" ht="19.500000" customHeight="1"/>
    <row r="268" ht="19.500000" customHeight="1"/>
    <row r="269" ht="19.500000" customHeight="1"/>
    <row r="270" ht="19.500000" customHeight="1"/>
    <row r="271" ht="19.500000" customHeight="1"/>
    <row r="272" ht="19.500000" customHeight="1"/>
    <row r="273" ht="19.500000" customHeight="1"/>
    <row r="274" ht="19.500000" customHeight="1"/>
    <row r="275" ht="19.500000" customHeight="1"/>
    <row r="276" ht="19.500000" customHeight="1"/>
    <row r="277" ht="19.500000" customHeight="1"/>
    <row r="278" ht="19.500000" customHeight="1"/>
    <row r="279" ht="19.500000" customHeight="1"/>
    <row r="280" ht="19.500000" customHeight="1"/>
    <row r="281" ht="19.500000" customHeight="1"/>
    <row r="282" ht="19.500000" customHeight="1"/>
    <row r="283" ht="19.500000" customHeight="1"/>
    <row r="284" ht="19.500000" customHeight="1"/>
    <row r="285" ht="19.500000" customHeight="1"/>
    <row r="286" ht="19.500000" customHeight="1"/>
    <row r="287" ht="19.500000" customHeight="1"/>
    <row r="288" ht="19.500000" customHeight="1"/>
    <row r="289" ht="19.500000" customHeight="1"/>
    <row r="290" ht="19.500000" customHeight="1"/>
    <row r="291" ht="19.500000" customHeight="1"/>
    <row r="292" ht="19.500000" customHeight="1"/>
    <row r="293" ht="19.500000" customHeight="1"/>
    <row r="294" ht="19.500000" customHeight="1"/>
    <row r="295" ht="19.500000" customHeight="1"/>
    <row r="296" ht="19.500000" customHeight="1"/>
    <row r="297" ht="19.500000" customHeight="1"/>
    <row r="298" ht="19.500000" customHeight="1"/>
    <row r="299" ht="19.500000" customHeight="1"/>
    <row r="300" ht="19.500000" customHeight="1"/>
    <row r="301" ht="19.500000" customHeight="1"/>
    <row r="302" ht="19.500000" customHeight="1"/>
    <row r="303" ht="19.500000" customHeight="1"/>
    <row r="304" ht="19.500000" customHeight="1"/>
    <row r="305" ht="19.500000" customHeight="1"/>
    <row r="306" ht="19.500000" customHeight="1"/>
    <row r="307" ht="19.500000" customHeight="1"/>
    <row r="308" ht="19.500000" customHeight="1"/>
    <row r="309" ht="19.500000" customHeight="1"/>
    <row r="310" ht="19.500000" customHeight="1"/>
    <row r="311" ht="19.500000" customHeight="1"/>
    <row r="312" ht="19.500000" customHeight="1"/>
    <row r="313" ht="19.500000" customHeight="1"/>
    <row r="314" ht="19.500000" customHeight="1"/>
    <row r="315" ht="19.500000" customHeight="1"/>
    <row r="316" ht="19.500000" customHeight="1"/>
    <row r="317" ht="19.500000" customHeight="1"/>
    <row r="318" ht="19.500000" customHeight="1"/>
    <row r="319" ht="19.500000" customHeight="1"/>
    <row r="320" ht="19.500000" customHeight="1"/>
    <row r="321" ht="19.500000" customHeight="1"/>
    <row r="322" ht="19.500000" customHeight="1"/>
    <row r="323" ht="19.500000" customHeight="1"/>
    <row r="324" ht="19.500000" customHeight="1"/>
    <row r="325" ht="19.500000" customHeight="1"/>
    <row r="326" ht="19.500000" customHeight="1"/>
    <row r="327" ht="19.500000" customHeight="1"/>
  </sheetData>
  <mergeCells count="16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3:A28"/>
    <mergeCell ref="A36:A51"/>
    <mergeCell ref="B36:B49"/>
    <mergeCell ref="C36:C49"/>
    <mergeCell ref="E36:E49"/>
    <mergeCell ref="F36:F49"/>
    <mergeCell ref="A52:A67"/>
  </mergeCells>
  <phoneticPr fontId="1" type="noConversion"/>
  <pageMargins left="0.70" right="0.70" top="0.75" bottom="0.75" header="0.51" footer="0.51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이 학민</cp:lastModifiedBy>
  <cp:version>10.105.269.55310</cp:version>
  <dcterms:modified xsi:type="dcterms:W3CDTF">2024-10-28T13:34:22Z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